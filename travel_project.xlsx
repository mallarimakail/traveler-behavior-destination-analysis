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202300"/>
  <mc:AlternateContent xmlns:mc="http://schemas.openxmlformats.org/markup-compatibility/2006">
    <mc:Choice Requires="x15">
      <x15ac:absPath xmlns:x15ac="http://schemas.microsoft.com/office/spreadsheetml/2010/11/ac" url="/Users/kailmallari/Desktop/travel_project/data/cleaned/"/>
    </mc:Choice>
  </mc:AlternateContent>
  <xr:revisionPtr revIDLastSave="0" documentId="8_{F237CA1B-47F2-F246-AFB1-140B1012905F}" xr6:coauthVersionLast="47" xr6:coauthVersionMax="47" xr10:uidLastSave="{00000000-0000-0000-0000-000000000000}"/>
  <bookViews>
    <workbookView xWindow="0" yWindow="740" windowWidth="29400" windowHeight="18380" activeTab="8" xr2:uid="{517447A4-9C10-E348-903C-9658C6EE527F}"/>
  </bookViews>
  <sheets>
    <sheet name="README" sheetId="1" r:id="rId1"/>
    <sheet name="neighborhood_stats" sheetId="7" r:id="rId2"/>
    <sheet name="pivot_neighborhood" sheetId="15" r:id="rId3"/>
    <sheet name="seasonality" sheetId="9" r:id="rId4"/>
    <sheet name="pivot_seasonality" sheetId="17" r:id="rId5"/>
    <sheet name="attribute_performance" sheetId="11" r:id="rId6"/>
    <sheet name="pivot_attributes" sheetId="18" r:id="rId7"/>
    <sheet name="market_entry" sheetId="13" r:id="rId8"/>
    <sheet name="pivot_market_entry" sheetId="19" r:id="rId9"/>
    <sheet name="master_summary" sheetId="6" r:id="rId10"/>
  </sheets>
  <definedNames>
    <definedName name="ExternalData_1" localSheetId="5" hidden="1">attribute_performance!$A$1:$K$176</definedName>
    <definedName name="ExternalData_1" localSheetId="7" hidden="1">market_entry!$A$1:$K$130</definedName>
    <definedName name="ExternalData_1" localSheetId="1" hidden="1">neighborhood_stats!$A$1:$K$130</definedName>
    <definedName name="ExternalData_1" localSheetId="3" hidden="1">seasonality!$A$1:$G$37</definedName>
    <definedName name="Slicer_city">#N/A</definedName>
    <definedName name="Slicer_city1">#N/A</definedName>
    <definedName name="Slicer_city2">#N/A</definedName>
    <definedName name="Slicer_city3">#N/A</definedName>
    <definedName name="Slicer_market_signal">#N/A</definedName>
    <definedName name="Slicer_room_type">#N/A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13" l="1"/>
  <c r="L56" i="13"/>
  <c r="L3" i="13"/>
  <c r="L48" i="13"/>
  <c r="L49" i="13"/>
  <c r="L118" i="13"/>
  <c r="L80" i="13"/>
  <c r="L119" i="13"/>
  <c r="L81" i="13"/>
  <c r="L82" i="13"/>
  <c r="L120" i="13"/>
  <c r="L83" i="13"/>
  <c r="L84" i="13"/>
  <c r="L85" i="13"/>
  <c r="L86" i="13"/>
  <c r="L87" i="13"/>
  <c r="L4" i="13"/>
  <c r="L5" i="13"/>
  <c r="L50" i="13"/>
  <c r="L6" i="13"/>
  <c r="L7" i="13"/>
  <c r="L8" i="13"/>
  <c r="L9" i="13"/>
  <c r="L10" i="13"/>
  <c r="L11" i="13"/>
  <c r="L12" i="13"/>
  <c r="L13" i="13"/>
  <c r="L57" i="13"/>
  <c r="L58" i="13"/>
  <c r="L14" i="13"/>
  <c r="L15" i="13"/>
  <c r="L16" i="13"/>
  <c r="L59" i="13"/>
  <c r="L51" i="13"/>
  <c r="L17" i="13"/>
  <c r="L18" i="13"/>
  <c r="L19" i="13"/>
  <c r="L20" i="13"/>
  <c r="L21" i="13"/>
  <c r="L22" i="13"/>
  <c r="L60" i="13"/>
  <c r="L23" i="13"/>
  <c r="L61" i="13"/>
  <c r="L62" i="13"/>
  <c r="L63" i="13"/>
  <c r="L52" i="13"/>
  <c r="L64" i="13"/>
  <c r="L88" i="13"/>
  <c r="L121" i="13"/>
  <c r="L89" i="13"/>
  <c r="L90" i="13"/>
  <c r="L122" i="13"/>
  <c r="L123" i="13"/>
  <c r="L124" i="13"/>
  <c r="L53" i="13"/>
  <c r="L65" i="13"/>
  <c r="L54" i="13"/>
  <c r="L24" i="13"/>
  <c r="L66" i="13"/>
  <c r="L25" i="13"/>
  <c r="L26" i="13"/>
  <c r="L67" i="13"/>
  <c r="L27" i="13"/>
  <c r="L68" i="13"/>
  <c r="L55" i="13"/>
  <c r="L69" i="13"/>
  <c r="L70" i="13"/>
  <c r="L28" i="13"/>
  <c r="L71" i="13"/>
  <c r="L72" i="13"/>
  <c r="L73" i="13"/>
  <c r="L29" i="13"/>
  <c r="L30" i="13"/>
  <c r="L31" i="13"/>
  <c r="L32" i="13"/>
  <c r="L33" i="13"/>
  <c r="L34" i="13"/>
  <c r="L74" i="13"/>
  <c r="L35" i="13"/>
  <c r="L36" i="13"/>
  <c r="L75" i="13"/>
  <c r="L76" i="13"/>
  <c r="L37" i="13"/>
  <c r="L38" i="13"/>
  <c r="L39" i="13"/>
  <c r="L77" i="13"/>
  <c r="L40" i="13"/>
  <c r="L78" i="13"/>
  <c r="L79" i="13"/>
  <c r="L41" i="13"/>
  <c r="L42" i="13"/>
  <c r="L43" i="13"/>
  <c r="L44" i="13"/>
  <c r="L45" i="13"/>
  <c r="L46" i="13"/>
  <c r="L47" i="13"/>
  <c r="L91" i="13"/>
  <c r="L125" i="13"/>
  <c r="L126" i="13"/>
  <c r="L92" i="13"/>
  <c r="L93" i="13"/>
  <c r="L94" i="13"/>
  <c r="L95" i="13"/>
  <c r="L96" i="13"/>
  <c r="L97" i="13"/>
  <c r="L127" i="13"/>
  <c r="L98" i="13"/>
  <c r="L99" i="13"/>
  <c r="L100" i="13"/>
  <c r="L128" i="13"/>
  <c r="L129" i="13"/>
  <c r="L101" i="13"/>
  <c r="L102" i="13"/>
  <c r="L103" i="13"/>
  <c r="L104" i="13"/>
  <c r="L105" i="13"/>
  <c r="L106" i="13"/>
  <c r="L107" i="13"/>
  <c r="L108" i="13"/>
  <c r="L109" i="13"/>
  <c r="L110" i="13"/>
  <c r="L130" i="13"/>
  <c r="L111" i="13"/>
  <c r="L112" i="13"/>
  <c r="L113" i="13"/>
  <c r="L114" i="13"/>
  <c r="L115" i="13"/>
  <c r="L116" i="13"/>
  <c r="L117" i="13"/>
  <c r="F2" i="7"/>
  <c r="F69" i="7"/>
  <c r="F3" i="7"/>
  <c r="F4" i="7"/>
  <c r="F5" i="7"/>
  <c r="F56" i="7"/>
  <c r="F93" i="7"/>
  <c r="F57" i="7"/>
  <c r="F94" i="7"/>
  <c r="F95" i="7"/>
  <c r="F58" i="7"/>
  <c r="F96" i="7"/>
  <c r="F97" i="7"/>
  <c r="F98" i="7"/>
  <c r="F99" i="7"/>
  <c r="F100" i="7"/>
  <c r="F6" i="7"/>
  <c r="F7" i="7"/>
  <c r="F8" i="7"/>
  <c r="F9" i="7"/>
  <c r="F10" i="7"/>
  <c r="F11" i="7"/>
  <c r="F12" i="7"/>
  <c r="F13" i="7"/>
  <c r="F14" i="7"/>
  <c r="F15" i="7"/>
  <c r="F16" i="7"/>
  <c r="F70" i="7"/>
  <c r="F71" i="7"/>
  <c r="F17" i="7"/>
  <c r="F18" i="7"/>
  <c r="F19" i="7"/>
  <c r="F72" i="7"/>
  <c r="F20" i="7"/>
  <c r="F21" i="7"/>
  <c r="F22" i="7"/>
  <c r="F23" i="7"/>
  <c r="F24" i="7"/>
  <c r="F25" i="7"/>
  <c r="F26" i="7"/>
  <c r="F73" i="7"/>
  <c r="F27" i="7"/>
  <c r="F74" i="7"/>
  <c r="F75" i="7"/>
  <c r="F76" i="7"/>
  <c r="F28" i="7"/>
  <c r="F77" i="7"/>
  <c r="F101" i="7"/>
  <c r="F59" i="7"/>
  <c r="F102" i="7"/>
  <c r="F103" i="7"/>
  <c r="F60" i="7"/>
  <c r="F61" i="7"/>
  <c r="F62" i="7"/>
  <c r="F29" i="7"/>
  <c r="F78" i="7"/>
  <c r="F30" i="7"/>
  <c r="F31" i="7"/>
  <c r="F79" i="7"/>
  <c r="F32" i="7"/>
  <c r="F33" i="7"/>
  <c r="F80" i="7"/>
  <c r="F34" i="7"/>
  <c r="F81" i="7"/>
  <c r="F35" i="7"/>
  <c r="F82" i="7"/>
  <c r="F83" i="7"/>
  <c r="F36" i="7"/>
  <c r="F84" i="7"/>
  <c r="F85" i="7"/>
  <c r="F86" i="7"/>
  <c r="F37" i="7"/>
  <c r="F38" i="7"/>
  <c r="F39" i="7"/>
  <c r="F40" i="7"/>
  <c r="F41" i="7"/>
  <c r="F42" i="7"/>
  <c r="F87" i="7"/>
  <c r="F43" i="7"/>
  <c r="F44" i="7"/>
  <c r="F88" i="7"/>
  <c r="F89" i="7"/>
  <c r="F45" i="7"/>
  <c r="F46" i="7"/>
  <c r="F47" i="7"/>
  <c r="F90" i="7"/>
  <c r="F48" i="7"/>
  <c r="F91" i="7"/>
  <c r="F92" i="7"/>
  <c r="F49" i="7"/>
  <c r="F50" i="7"/>
  <c r="F51" i="7"/>
  <c r="F52" i="7"/>
  <c r="F53" i="7"/>
  <c r="F54" i="7"/>
  <c r="F55" i="7"/>
  <c r="F104" i="7"/>
  <c r="F63" i="7"/>
  <c r="F64" i="7"/>
  <c r="F105" i="7"/>
  <c r="F106" i="7"/>
  <c r="F107" i="7"/>
  <c r="F108" i="7"/>
  <c r="F109" i="7"/>
  <c r="F110" i="7"/>
  <c r="F65" i="7"/>
  <c r="F111" i="7"/>
  <c r="F112" i="7"/>
  <c r="F113" i="7"/>
  <c r="F66" i="7"/>
  <c r="F67" i="7"/>
  <c r="F114" i="7"/>
  <c r="F115" i="7"/>
  <c r="F116" i="7"/>
  <c r="F117" i="7"/>
  <c r="F118" i="7"/>
  <c r="F119" i="7"/>
  <c r="F120" i="7"/>
  <c r="F121" i="7"/>
  <c r="F122" i="7"/>
  <c r="F123" i="7"/>
  <c r="F68" i="7"/>
  <c r="F124" i="7"/>
  <c r="F125" i="7"/>
  <c r="F126" i="7"/>
  <c r="F127" i="7"/>
  <c r="F128" i="7"/>
  <c r="F129" i="7"/>
  <c r="F130" i="7"/>
  <c r="N2" i="7"/>
  <c r="N69" i="7"/>
  <c r="N3" i="7"/>
  <c r="N4" i="7"/>
  <c r="N5" i="7"/>
  <c r="N56" i="7"/>
  <c r="N93" i="7"/>
  <c r="N57" i="7"/>
  <c r="N94" i="7"/>
  <c r="N95" i="7"/>
  <c r="N58" i="7"/>
  <c r="N96" i="7"/>
  <c r="N97" i="7"/>
  <c r="N98" i="7"/>
  <c r="N99" i="7"/>
  <c r="N100" i="7"/>
  <c r="N6" i="7"/>
  <c r="N7" i="7"/>
  <c r="N8" i="7"/>
  <c r="N9" i="7"/>
  <c r="N10" i="7"/>
  <c r="N11" i="7"/>
  <c r="N12" i="7"/>
  <c r="N13" i="7"/>
  <c r="N14" i="7"/>
  <c r="N15" i="7"/>
  <c r="N16" i="7"/>
  <c r="N70" i="7"/>
  <c r="N71" i="7"/>
  <c r="N17" i="7"/>
  <c r="N18" i="7"/>
  <c r="N19" i="7"/>
  <c r="N72" i="7"/>
  <c r="N20" i="7"/>
  <c r="N21" i="7"/>
  <c r="N22" i="7"/>
  <c r="N23" i="7"/>
  <c r="N24" i="7"/>
  <c r="N25" i="7"/>
  <c r="N26" i="7"/>
  <c r="N73" i="7"/>
  <c r="N27" i="7"/>
  <c r="N74" i="7"/>
  <c r="N75" i="7"/>
  <c r="N76" i="7"/>
  <c r="N28" i="7"/>
  <c r="N77" i="7"/>
  <c r="N101" i="7"/>
  <c r="N59" i="7"/>
  <c r="N102" i="7"/>
  <c r="N103" i="7"/>
  <c r="N60" i="7"/>
  <c r="N61" i="7"/>
  <c r="N62" i="7"/>
  <c r="N29" i="7"/>
  <c r="N78" i="7"/>
  <c r="N30" i="7"/>
  <c r="N31" i="7"/>
  <c r="N79" i="7"/>
  <c r="N32" i="7"/>
  <c r="N33" i="7"/>
  <c r="N80" i="7"/>
  <c r="N34" i="7"/>
  <c r="N81" i="7"/>
  <c r="N35" i="7"/>
  <c r="N82" i="7"/>
  <c r="N83" i="7"/>
  <c r="N36" i="7"/>
  <c r="N84" i="7"/>
  <c r="N85" i="7"/>
  <c r="N86" i="7"/>
  <c r="N37" i="7"/>
  <c r="N38" i="7"/>
  <c r="N39" i="7"/>
  <c r="N40" i="7"/>
  <c r="N41" i="7"/>
  <c r="N42" i="7"/>
  <c r="N87" i="7"/>
  <c r="N43" i="7"/>
  <c r="N44" i="7"/>
  <c r="N88" i="7"/>
  <c r="N89" i="7"/>
  <c r="N45" i="7"/>
  <c r="N46" i="7"/>
  <c r="N47" i="7"/>
  <c r="N90" i="7"/>
  <c r="N48" i="7"/>
  <c r="N91" i="7"/>
  <c r="N92" i="7"/>
  <c r="N49" i="7"/>
  <c r="N50" i="7"/>
  <c r="N51" i="7"/>
  <c r="N52" i="7"/>
  <c r="N53" i="7"/>
  <c r="N54" i="7"/>
  <c r="N55" i="7"/>
  <c r="N104" i="7"/>
  <c r="N63" i="7"/>
  <c r="N64" i="7"/>
  <c r="N105" i="7"/>
  <c r="N106" i="7"/>
  <c r="N107" i="7"/>
  <c r="N108" i="7"/>
  <c r="N109" i="7"/>
  <c r="N110" i="7"/>
  <c r="N65" i="7"/>
  <c r="N111" i="7"/>
  <c r="N112" i="7"/>
  <c r="N113" i="7"/>
  <c r="N66" i="7"/>
  <c r="N67" i="7"/>
  <c r="N114" i="7"/>
  <c r="N115" i="7"/>
  <c r="N116" i="7"/>
  <c r="N117" i="7"/>
  <c r="N118" i="7"/>
  <c r="N119" i="7"/>
  <c r="N120" i="7"/>
  <c r="N121" i="7"/>
  <c r="N122" i="7"/>
  <c r="N123" i="7"/>
  <c r="N68" i="7"/>
  <c r="N124" i="7"/>
  <c r="N125" i="7"/>
  <c r="N126" i="7"/>
  <c r="N127" i="7"/>
  <c r="N128" i="7"/>
  <c r="N129" i="7"/>
  <c r="N130" i="7"/>
  <c r="M2" i="7"/>
  <c r="M69" i="7"/>
  <c r="M3" i="7"/>
  <c r="M4" i="7"/>
  <c r="M5" i="7"/>
  <c r="M56" i="7"/>
  <c r="M93" i="7"/>
  <c r="M57" i="7"/>
  <c r="M94" i="7"/>
  <c r="M95" i="7"/>
  <c r="M58" i="7"/>
  <c r="M96" i="7"/>
  <c r="M97" i="7"/>
  <c r="M98" i="7"/>
  <c r="M99" i="7"/>
  <c r="M100" i="7"/>
  <c r="M6" i="7"/>
  <c r="M7" i="7"/>
  <c r="M8" i="7"/>
  <c r="M9" i="7"/>
  <c r="M10" i="7"/>
  <c r="M11" i="7"/>
  <c r="M12" i="7"/>
  <c r="M13" i="7"/>
  <c r="M14" i="7"/>
  <c r="M15" i="7"/>
  <c r="M16" i="7"/>
  <c r="M70" i="7"/>
  <c r="M71" i="7"/>
  <c r="M17" i="7"/>
  <c r="M18" i="7"/>
  <c r="M19" i="7"/>
  <c r="M72" i="7"/>
  <c r="M20" i="7"/>
  <c r="M21" i="7"/>
  <c r="M22" i="7"/>
  <c r="M23" i="7"/>
  <c r="M24" i="7"/>
  <c r="M25" i="7"/>
  <c r="M26" i="7"/>
  <c r="M73" i="7"/>
  <c r="M27" i="7"/>
  <c r="M74" i="7"/>
  <c r="M75" i="7"/>
  <c r="M76" i="7"/>
  <c r="M28" i="7"/>
  <c r="M77" i="7"/>
  <c r="M101" i="7"/>
  <c r="M59" i="7"/>
  <c r="M102" i="7"/>
  <c r="M103" i="7"/>
  <c r="M60" i="7"/>
  <c r="M61" i="7"/>
  <c r="M62" i="7"/>
  <c r="M29" i="7"/>
  <c r="M78" i="7"/>
  <c r="M30" i="7"/>
  <c r="M31" i="7"/>
  <c r="M79" i="7"/>
  <c r="M32" i="7"/>
  <c r="M33" i="7"/>
  <c r="M80" i="7"/>
  <c r="M34" i="7"/>
  <c r="M81" i="7"/>
  <c r="M35" i="7"/>
  <c r="M82" i="7"/>
  <c r="M83" i="7"/>
  <c r="M36" i="7"/>
  <c r="M84" i="7"/>
  <c r="M85" i="7"/>
  <c r="M86" i="7"/>
  <c r="M37" i="7"/>
  <c r="M38" i="7"/>
  <c r="M39" i="7"/>
  <c r="M40" i="7"/>
  <c r="M41" i="7"/>
  <c r="M42" i="7"/>
  <c r="M87" i="7"/>
  <c r="M43" i="7"/>
  <c r="M44" i="7"/>
  <c r="M88" i="7"/>
  <c r="M89" i="7"/>
  <c r="M45" i="7"/>
  <c r="M46" i="7"/>
  <c r="M47" i="7"/>
  <c r="M90" i="7"/>
  <c r="M48" i="7"/>
  <c r="M91" i="7"/>
  <c r="M92" i="7"/>
  <c r="M49" i="7"/>
  <c r="M50" i="7"/>
  <c r="M51" i="7"/>
  <c r="M52" i="7"/>
  <c r="M53" i="7"/>
  <c r="M54" i="7"/>
  <c r="M55" i="7"/>
  <c r="M104" i="7"/>
  <c r="M63" i="7"/>
  <c r="M64" i="7"/>
  <c r="M105" i="7"/>
  <c r="M106" i="7"/>
  <c r="M107" i="7"/>
  <c r="M108" i="7"/>
  <c r="M109" i="7"/>
  <c r="M110" i="7"/>
  <c r="M65" i="7"/>
  <c r="M111" i="7"/>
  <c r="M112" i="7"/>
  <c r="M113" i="7"/>
  <c r="M66" i="7"/>
  <c r="M67" i="7"/>
  <c r="M114" i="7"/>
  <c r="M115" i="7"/>
  <c r="M116" i="7"/>
  <c r="M117" i="7"/>
  <c r="M118" i="7"/>
  <c r="M119" i="7"/>
  <c r="M120" i="7"/>
  <c r="M121" i="7"/>
  <c r="M122" i="7"/>
  <c r="M123" i="7"/>
  <c r="M68" i="7"/>
  <c r="M124" i="7"/>
  <c r="M125" i="7"/>
  <c r="M126" i="7"/>
  <c r="M127" i="7"/>
  <c r="M128" i="7"/>
  <c r="M129" i="7"/>
  <c r="M130" i="7"/>
  <c r="L2" i="7"/>
  <c r="L69" i="7"/>
  <c r="L3" i="7"/>
  <c r="L4" i="7"/>
  <c r="L5" i="7"/>
  <c r="L56" i="7"/>
  <c r="L93" i="7"/>
  <c r="L57" i="7"/>
  <c r="L94" i="7"/>
  <c r="L95" i="7"/>
  <c r="L58" i="7"/>
  <c r="L96" i="7"/>
  <c r="L97" i="7"/>
  <c r="L98" i="7"/>
  <c r="L99" i="7"/>
  <c r="L100" i="7"/>
  <c r="L6" i="7"/>
  <c r="L7" i="7"/>
  <c r="L8" i="7"/>
  <c r="L9" i="7"/>
  <c r="L10" i="7"/>
  <c r="L11" i="7"/>
  <c r="L12" i="7"/>
  <c r="L13" i="7"/>
  <c r="L14" i="7"/>
  <c r="L15" i="7"/>
  <c r="L16" i="7"/>
  <c r="L70" i="7"/>
  <c r="L71" i="7"/>
  <c r="L17" i="7"/>
  <c r="L18" i="7"/>
  <c r="L19" i="7"/>
  <c r="L72" i="7"/>
  <c r="L20" i="7"/>
  <c r="L21" i="7"/>
  <c r="L22" i="7"/>
  <c r="L23" i="7"/>
  <c r="L24" i="7"/>
  <c r="L25" i="7"/>
  <c r="L26" i="7"/>
  <c r="L73" i="7"/>
  <c r="L27" i="7"/>
  <c r="L74" i="7"/>
  <c r="L75" i="7"/>
  <c r="L76" i="7"/>
  <c r="L28" i="7"/>
  <c r="L77" i="7"/>
  <c r="L101" i="7"/>
  <c r="L59" i="7"/>
  <c r="L102" i="7"/>
  <c r="L103" i="7"/>
  <c r="L60" i="7"/>
  <c r="L61" i="7"/>
  <c r="L62" i="7"/>
  <c r="L29" i="7"/>
  <c r="L78" i="7"/>
  <c r="L30" i="7"/>
  <c r="L31" i="7"/>
  <c r="L79" i="7"/>
  <c r="L32" i="7"/>
  <c r="L33" i="7"/>
  <c r="L80" i="7"/>
  <c r="L34" i="7"/>
  <c r="L81" i="7"/>
  <c r="L35" i="7"/>
  <c r="L82" i="7"/>
  <c r="L83" i="7"/>
  <c r="L36" i="7"/>
  <c r="L84" i="7"/>
  <c r="L85" i="7"/>
  <c r="L86" i="7"/>
  <c r="L37" i="7"/>
  <c r="L38" i="7"/>
  <c r="L39" i="7"/>
  <c r="L40" i="7"/>
  <c r="L41" i="7"/>
  <c r="L42" i="7"/>
  <c r="L87" i="7"/>
  <c r="L43" i="7"/>
  <c r="L44" i="7"/>
  <c r="L88" i="7"/>
  <c r="L89" i="7"/>
  <c r="L45" i="7"/>
  <c r="L46" i="7"/>
  <c r="L47" i="7"/>
  <c r="L90" i="7"/>
  <c r="L48" i="7"/>
  <c r="L91" i="7"/>
  <c r="L92" i="7"/>
  <c r="L49" i="7"/>
  <c r="L50" i="7"/>
  <c r="L51" i="7"/>
  <c r="L52" i="7"/>
  <c r="L53" i="7"/>
  <c r="L54" i="7"/>
  <c r="L55" i="7"/>
  <c r="L104" i="7"/>
  <c r="L63" i="7"/>
  <c r="L64" i="7"/>
  <c r="L105" i="7"/>
  <c r="L106" i="7"/>
  <c r="L107" i="7"/>
  <c r="L108" i="7"/>
  <c r="L109" i="7"/>
  <c r="L110" i="7"/>
  <c r="L65" i="7"/>
  <c r="L111" i="7"/>
  <c r="L112" i="7"/>
  <c r="L113" i="7"/>
  <c r="L66" i="7"/>
  <c r="L67" i="7"/>
  <c r="L114" i="7"/>
  <c r="L115" i="7"/>
  <c r="L116" i="7"/>
  <c r="L117" i="7"/>
  <c r="L118" i="7"/>
  <c r="L119" i="7"/>
  <c r="L120" i="7"/>
  <c r="L121" i="7"/>
  <c r="L122" i="7"/>
  <c r="L123" i="7"/>
  <c r="L68" i="7"/>
  <c r="L124" i="7"/>
  <c r="L125" i="7"/>
  <c r="L126" i="7"/>
  <c r="L127" i="7"/>
  <c r="L128" i="7"/>
  <c r="L129" i="7"/>
  <c r="L13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601ADF-F8AA-A341-B0CA-EC1757D4CDE2}" keepAlive="1" name="Query - export_q1_neighborhood_stats" description="Connection to the 'export_q1_neighborhood_stats' query in the workbook." type="5" refreshedVersion="8" background="1" saveData="1">
    <dbPr connection="Provider=Microsoft.Mashup.OleDb.1;Data Source=$Workbook$;Location=export_q1_neighborhood_stats;Extended Properties=&quot;&quot;" command="SELECT * FROM [export_q1_neighborhood_stats]"/>
  </connection>
  <connection id="2" xr16:uid="{70BD9284-9D4B-B148-8544-21494CCE9A5F}" keepAlive="1" name="Query - export_q1_neighborhood_stats (2)" description="Connection to the 'export_q1_neighborhood_stats (2)' query in the workbook." type="5" refreshedVersion="0" background="1">
    <dbPr connection="Provider=Microsoft.Mashup.OleDb.1;Data Source=$Workbook$;Location=&quot;export_q1_neighborhood_stats (2)&quot;;Extended Properties=&quot;&quot;" command="SELECT * FROM [export_q1_neighborhood_stats (2)]"/>
  </connection>
  <connection id="3" xr16:uid="{54730CEE-8C31-214F-8EB8-39E519D8EC13}" keepAlive="1" name="Query - export_q2_seasonality" description="Connection to the 'export_q2_seasonality' query in the workbook." type="5" refreshedVersion="8" background="1" saveData="1">
    <dbPr connection="Provider=Microsoft.Mashup.OleDb.1;Data Source=$Workbook$;Location=export_q2_seasonality;Extended Properties=&quot;&quot;" command="SELECT * FROM [export_q2_seasonality]"/>
  </connection>
  <connection id="4" xr16:uid="{0B2F30FB-7ECE-DB4C-9E5E-720200CC5E2F}" keepAlive="1" name="Query - export_q3_attribute_performance" description="Connection to the 'export_q3_attribute_performance' query in the workbook." type="5" refreshedVersion="8" background="1" saveData="1">
    <dbPr connection="Provider=Microsoft.Mashup.OleDb.1;Data Source=$Workbook$;Location=export_q3_attribute_performance;Extended Properties=&quot;&quot;" command="SELECT * FROM [export_q3_attribute_performance]"/>
  </connection>
  <connection id="5" xr16:uid="{3837E743-E60F-1A4D-AD4E-F0E06D5964B3}" keepAlive="1" name="Query - export_q4_market_entry" description="Connection to the 'export_q4_market_entry' query in the workbook." type="5" refreshedVersion="0" background="1">
    <dbPr connection="Provider=Microsoft.Mashup.OleDb.1;Data Source=$Workbook$;Location=export_q4_market_entry;Extended Properties=&quot;&quot;" command="SELECT * FROM [export_q4_market_entry]"/>
  </connection>
  <connection id="6" xr16:uid="{392FE958-74B9-4C4F-A4DD-E24523DDA236}" keepAlive="1" name="Query - export_q4_market_entry (2)" description="Connection to the 'export_q4_market_entry (2)' query in the workbook." type="5" refreshedVersion="8" background="1" saveData="1">
    <dbPr connection="Provider=Microsoft.Mashup.OleDb.1;Data Source=$Workbook$;Location=&quot;export_q4_market_entry (2)&quot;;Extended Properties=&quot;&quot;" command="SELECT * FROM [export_q4_market_entry (2)]"/>
  </connection>
</connections>
</file>

<file path=xl/sharedStrings.xml><?xml version="1.0" encoding="utf-8"?>
<sst xmlns="http://schemas.openxmlformats.org/spreadsheetml/2006/main" count="2365" uniqueCount="295">
  <si>
    <t>city</t>
  </si>
  <si>
    <t>neighbourhood</t>
  </si>
  <si>
    <t>area</t>
  </si>
  <si>
    <t>supply_count</t>
  </si>
  <si>
    <t>avg_occupancy</t>
  </si>
  <si>
    <t>avg_price</t>
  </si>
  <si>
    <t>avg_reviews_per_month</t>
  </si>
  <si>
    <t>avg_rating</t>
  </si>
  <si>
    <t>occupancy_tier</t>
  </si>
  <si>
    <t>pricing_tier</t>
  </si>
  <si>
    <t>market_signal</t>
  </si>
  <si>
    <t>Mexico City</t>
  </si>
  <si>
    <t>Iztacalco</t>
  </si>
  <si>
    <t/>
  </si>
  <si>
    <t>above average</t>
  </si>
  <si>
    <t>lag</t>
  </si>
  <si>
    <t>opportunity</t>
  </si>
  <si>
    <t>Cuauhtémoc</t>
  </si>
  <si>
    <t>premium</t>
  </si>
  <si>
    <t>high demand</t>
  </si>
  <si>
    <t>Venustiano Carranza</t>
  </si>
  <si>
    <t>Benito Juárez</t>
  </si>
  <si>
    <t>Coyoacán</t>
  </si>
  <si>
    <t>Miguel Hidalgo</t>
  </si>
  <si>
    <t>below average</t>
  </si>
  <si>
    <t>overpriced</t>
  </si>
  <si>
    <t>La Magdalena Contreras</t>
  </si>
  <si>
    <t>low demand</t>
  </si>
  <si>
    <t>Tlalpan</t>
  </si>
  <si>
    <t>Gustavo A. Madero</t>
  </si>
  <si>
    <t>Álvaro Obregón</t>
  </si>
  <si>
    <t>Cuajimalpa de Morelos</t>
  </si>
  <si>
    <t>Azcapotzalco</t>
  </si>
  <si>
    <t>Iztapalapa</t>
  </si>
  <si>
    <t>Tláhuac</t>
  </si>
  <si>
    <t>Xochimilco</t>
  </si>
  <si>
    <t>Milpa Alta</t>
  </si>
  <si>
    <t>New Orleans</t>
  </si>
  <si>
    <t>City Park</t>
  </si>
  <si>
    <t>Audubon</t>
  </si>
  <si>
    <t>Fairgrounds</t>
  </si>
  <si>
    <t>Irish Channel</t>
  </si>
  <si>
    <t>Dillard</t>
  </si>
  <si>
    <t>Broadmoor</t>
  </si>
  <si>
    <t>East Carrollton</t>
  </si>
  <si>
    <t>Mcdonogh</t>
  </si>
  <si>
    <t>Lower Ninth Ward</t>
  </si>
  <si>
    <t>Bayou St. John</t>
  </si>
  <si>
    <t>Navarre</t>
  </si>
  <si>
    <t>Uptown</t>
  </si>
  <si>
    <t>Treme - Lafitte</t>
  </si>
  <si>
    <t>Gentilly Terrace</t>
  </si>
  <si>
    <t>Algiers Point</t>
  </si>
  <si>
    <t>West Riverside</t>
  </si>
  <si>
    <t>East Riverside</t>
  </si>
  <si>
    <t>Seventh Ward</t>
  </si>
  <si>
    <t>Leonidas</t>
  </si>
  <si>
    <t>Holy Cross</t>
  </si>
  <si>
    <t>Marlyville - Fontainbleau</t>
  </si>
  <si>
    <t>Bywater</t>
  </si>
  <si>
    <t>Milneburg</t>
  </si>
  <si>
    <t>Freret</t>
  </si>
  <si>
    <t>Marigny</t>
  </si>
  <si>
    <t>St. Roch</t>
  </si>
  <si>
    <t>Touro</t>
  </si>
  <si>
    <t>Lower Garden District</t>
  </si>
  <si>
    <t>Milan</t>
  </si>
  <si>
    <t>Lakeview</t>
  </si>
  <si>
    <t>Central City</t>
  </si>
  <si>
    <t>Mid-City</t>
  </si>
  <si>
    <t>St. Thomas Dev</t>
  </si>
  <si>
    <t>French Quarter</t>
  </si>
  <si>
    <t>St. Claude</t>
  </si>
  <si>
    <t>Tulane - Gravier</t>
  </si>
  <si>
    <t>Lake Catherine</t>
  </si>
  <si>
    <t>Central Business District</t>
  </si>
  <si>
    <t>NYC</t>
  </si>
  <si>
    <t>Gramercy</t>
  </si>
  <si>
    <t>Manhattan</t>
  </si>
  <si>
    <t>West Village</t>
  </si>
  <si>
    <t>Gowanus</t>
  </si>
  <si>
    <t>Brooklyn</t>
  </si>
  <si>
    <t>Fort Greene</t>
  </si>
  <si>
    <t>Prospect Heights</t>
  </si>
  <si>
    <t>College Point</t>
  </si>
  <si>
    <t>Queens</t>
  </si>
  <si>
    <t>Nolita</t>
  </si>
  <si>
    <t>East Village</t>
  </si>
  <si>
    <t>Carroll Gardens</t>
  </si>
  <si>
    <t>Upper East Side</t>
  </si>
  <si>
    <t>Sunnyside</t>
  </si>
  <si>
    <t>Little Italy</t>
  </si>
  <si>
    <t>Boerum Hill</t>
  </si>
  <si>
    <t>Park Slope</t>
  </si>
  <si>
    <t>Tribeca</t>
  </si>
  <si>
    <t>SoHo</t>
  </si>
  <si>
    <t>Greenpoint</t>
  </si>
  <si>
    <t>Clinton Hill</t>
  </si>
  <si>
    <t>Arverne</t>
  </si>
  <si>
    <t>Williamsburg</t>
  </si>
  <si>
    <t>Prospect-Lefferts Gardens</t>
  </si>
  <si>
    <t>Ridgewood</t>
  </si>
  <si>
    <t>Concourse</t>
  </si>
  <si>
    <t>Bronx</t>
  </si>
  <si>
    <t>Kips Bay</t>
  </si>
  <si>
    <t>Sunset Park</t>
  </si>
  <si>
    <t>Bedford-Stuyvesant</t>
  </si>
  <si>
    <t>Upper West Side</t>
  </si>
  <si>
    <t>Crown Heights</t>
  </si>
  <si>
    <t>Washington Heights</t>
  </si>
  <si>
    <t>Maspeth</t>
  </si>
  <si>
    <t>Chinatown</t>
  </si>
  <si>
    <t>Lower East Side</t>
  </si>
  <si>
    <t>Bushwick</t>
  </si>
  <si>
    <t>Long Island City</t>
  </si>
  <si>
    <t>Harlem</t>
  </si>
  <si>
    <t>Laurelton</t>
  </si>
  <si>
    <t>East Harlem</t>
  </si>
  <si>
    <t>Richmond Hill</t>
  </si>
  <si>
    <t>Flatbush</t>
  </si>
  <si>
    <t>Cypress Hills</t>
  </si>
  <si>
    <t>Chelsea</t>
  </si>
  <si>
    <t>St. Albans</t>
  </si>
  <si>
    <t>Flushing</t>
  </si>
  <si>
    <t>Financial District</t>
  </si>
  <si>
    <t>Hell's Kitchen</t>
  </si>
  <si>
    <t>East New York</t>
  </si>
  <si>
    <t>Ditmars Steinway</t>
  </si>
  <si>
    <t>Woodhaven</t>
  </si>
  <si>
    <t>Astoria</t>
  </si>
  <si>
    <t>Brownsville</t>
  </si>
  <si>
    <t>Elmhurst</t>
  </si>
  <si>
    <t>Midtown</t>
  </si>
  <si>
    <t>East Flatbush</t>
  </si>
  <si>
    <t>East Elmhurst</t>
  </si>
  <si>
    <t>Woodside</t>
  </si>
  <si>
    <t>Murray Hill</t>
  </si>
  <si>
    <t>Theater District</t>
  </si>
  <si>
    <t>Jamaica</t>
  </si>
  <si>
    <t>Jackson Heights</t>
  </si>
  <si>
    <t>Mott Haven</t>
  </si>
  <si>
    <t>Sheepshead Bay</t>
  </si>
  <si>
    <t>Corona</t>
  </si>
  <si>
    <t>Rosedale</t>
  </si>
  <si>
    <t>Springfield Gardens</t>
  </si>
  <si>
    <t>Fresh Meadows</t>
  </si>
  <si>
    <t>Cambria Heights</t>
  </si>
  <si>
    <t>Canarsie</t>
  </si>
  <si>
    <t>Greenwich Village</t>
  </si>
  <si>
    <t>Downtown Brooklyn</t>
  </si>
  <si>
    <t>Flatlands</t>
  </si>
  <si>
    <t>South Ozone Park</t>
  </si>
  <si>
    <t>Fort Hamilton</t>
  </si>
  <si>
    <t>Queens Village</t>
  </si>
  <si>
    <t>Flatiron District</t>
  </si>
  <si>
    <t>Port Morris</t>
  </si>
  <si>
    <t>month_number</t>
  </si>
  <si>
    <t>month_name</t>
  </si>
  <si>
    <t>booked_nights</t>
  </si>
  <si>
    <t>pct_of_peak</t>
  </si>
  <si>
    <t>season_type</t>
  </si>
  <si>
    <t>publishing_recommendation</t>
  </si>
  <si>
    <t xml:space="preserve">January  </t>
  </si>
  <si>
    <t>high season</t>
  </si>
  <si>
    <t>publish 4-6 weeks prior</t>
  </si>
  <si>
    <t xml:space="preserve">February </t>
  </si>
  <si>
    <t>shoulder season</t>
  </si>
  <si>
    <t>publish 2-4 weeks prior</t>
  </si>
  <si>
    <t xml:space="preserve">March    </t>
  </si>
  <si>
    <t xml:space="preserve">April    </t>
  </si>
  <si>
    <t>peak</t>
  </si>
  <si>
    <t>publish 6-8 weeks prior</t>
  </si>
  <si>
    <t xml:space="preserve">May      </t>
  </si>
  <si>
    <t xml:space="preserve">June     </t>
  </si>
  <si>
    <t xml:space="preserve">July     </t>
  </si>
  <si>
    <t>off peak</t>
  </si>
  <si>
    <t>no push needed</t>
  </si>
  <si>
    <t xml:space="preserve">August   </t>
  </si>
  <si>
    <t>September</t>
  </si>
  <si>
    <t xml:space="preserve">October  </t>
  </si>
  <si>
    <t xml:space="preserve">November </t>
  </si>
  <si>
    <t xml:space="preserve">December </t>
  </si>
  <si>
    <t>room_type</t>
  </si>
  <si>
    <t>host_is_superhost</t>
  </si>
  <si>
    <t>accommodates</t>
  </si>
  <si>
    <t>cleanliness_score</t>
  </si>
  <si>
    <t>location_score</t>
  </si>
  <si>
    <t>value_score</t>
  </si>
  <si>
    <t>listing_count</t>
  </si>
  <si>
    <t>Hotel room</t>
  </si>
  <si>
    <t>t</t>
  </si>
  <si>
    <t>Entire home/apt</t>
  </si>
  <si>
    <t>f</t>
  </si>
  <si>
    <t>Private room</t>
  </si>
  <si>
    <t>Shared room</t>
  </si>
  <si>
    <t>price_stddev</t>
  </si>
  <si>
    <t>coeff_of_variation</t>
  </si>
  <si>
    <t>occupancy_gap_pct</t>
  </si>
  <si>
    <t>price_gap</t>
  </si>
  <si>
    <t>GO -- high demand, underpriced</t>
  </si>
  <si>
    <t>MONITOR -- high demand, already premium</t>
  </si>
  <si>
    <t>GO -- high demand, underpriced, volatile market</t>
  </si>
  <si>
    <t>NO GO -- overpriced relative to demand</t>
  </si>
  <si>
    <t>NO GO -- low demand, low price</t>
  </si>
  <si>
    <t>demand_score</t>
  </si>
  <si>
    <t>price_opportunity_score</t>
  </si>
  <si>
    <t>partnership_priority</t>
  </si>
  <si>
    <t>Row Labels</t>
  </si>
  <si>
    <t>Grand Total</t>
  </si>
  <si>
    <t>(All)</t>
  </si>
  <si>
    <t>HIGH</t>
  </si>
  <si>
    <t>avg_price_usd</t>
  </si>
  <si>
    <t>Listings</t>
  </si>
  <si>
    <t>Avg Occupancy</t>
  </si>
  <si>
    <t>Avg Price (USD)</t>
  </si>
  <si>
    <t>Column Labels</t>
  </si>
  <si>
    <t>Booked Nights (Sum)</t>
  </si>
  <si>
    <t>Tier</t>
  </si>
  <si>
    <t>Attribute</t>
  </si>
  <si>
    <t>Finding</t>
  </si>
  <si>
    <t>Recommendation</t>
  </si>
  <si>
    <t>Tier 1</t>
  </si>
  <si>
    <t>Cleanliness Score</t>
  </si>
  <si>
    <t>Score 5 vs 4 = up to 52% occupancy drop</t>
  </si>
  <si>
    <t>Maintain 5.0 cleanliness; non-negotiable.</t>
  </si>
  <si>
    <t>Location Score</t>
  </si>
  <si>
    <t>Score 5 vs 4 = up to 24% occupancy drop</t>
  </si>
  <si>
    <t>Prioritize well-located properties</t>
  </si>
  <si>
    <t>Superhost Status</t>
  </si>
  <si>
    <t>Superhosts have up to 21.7% higher occupancy</t>
  </si>
  <si>
    <t>Only partner with superhosts if possible</t>
  </si>
  <si>
    <t xml:space="preserve">Tier 2 </t>
  </si>
  <si>
    <t>Value Score</t>
  </si>
  <si>
    <t>Score 5 vs 4 = up to 47% occupancy drop</t>
  </si>
  <si>
    <t>Avoid overpricing</t>
  </si>
  <si>
    <t>Room Type</t>
  </si>
  <si>
    <t>Entire home outperforms in all 3 cities</t>
  </si>
  <si>
    <t>Prioritize entire home partnerships</t>
  </si>
  <si>
    <t>Accomodation Size</t>
  </si>
  <si>
    <t>Sweet spot is 2-4 guests</t>
  </si>
  <si>
    <t>Focus on small-medium properties</t>
  </si>
  <si>
    <t>No Impact</t>
  </si>
  <si>
    <t>Instant Bookable</t>
  </si>
  <si>
    <t>Fully null in source data</t>
  </si>
  <si>
    <t>Flag for future data collection</t>
  </si>
  <si>
    <t>Price Alone</t>
  </si>
  <si>
    <t>High price does not drive occupancy</t>
  </si>
  <si>
    <t>Quality scores matter more than price</t>
  </si>
  <si>
    <t>go_no_go_score</t>
  </si>
  <si>
    <t>Avg Price</t>
  </si>
  <si>
    <t>Price Volatility (CV)</t>
  </si>
  <si>
    <t>TRAVELER BEHAVIOR &amp; DESTINATION TREND ANALYSIS</t>
  </si>
  <si>
    <t>Travel Media Company - Partnership Intelligence Report</t>
  </si>
  <si>
    <t>DATA COVERAGE</t>
  </si>
  <si>
    <t>Q1 - TOP PARTNERSHIP OPPORTUNITIES</t>
  </si>
  <si>
    <t>Q2 - PUBLISHING CALENDAR HIGHLIGHTS</t>
  </si>
  <si>
    <t>Q3 - WHAT TRAVELERS WANT</t>
  </si>
  <si>
    <t>Q4 - MARKET ENTRY SIGNALS</t>
  </si>
  <si>
    <t>KEY LIMITATIONS</t>
  </si>
  <si>
    <t>City</t>
  </si>
  <si>
    <t>Short Term Listings</t>
  </si>
  <si>
    <t>Calendar Rows</t>
  </si>
  <si>
    <t>Reviews</t>
  </si>
  <si>
    <t>Top Neighborhood</t>
  </si>
  <si>
    <t>Signal</t>
  </si>
  <si>
    <t>Peak Month</t>
  </si>
  <si>
    <t>Publish By</t>
  </si>
  <si>
    <t>Shoulder Season</t>
  </si>
  <si>
    <t>Dead Zone</t>
  </si>
  <si>
    <t>Impact</t>
  </si>
  <si>
    <t>Rationale</t>
  </si>
  <si>
    <t>1. Occupancy rate is estimated from availability calendar, not actual booking records
2. NYC short-term market severely restricted by Local Law 18 (2023) — only 4,297 listings qualify
3. Mexico City prices are in MXN not USD — not directly comparable to other cities
4. Mexico City has no review scores — Q3 analysis excludes Mexico City
5. Data reflects a single snapshot — supply growth trends require longitudinal data</t>
  </si>
  <si>
    <t>Opportunity</t>
  </si>
  <si>
    <t>April</t>
  </si>
  <si>
    <t>Mid-February</t>
  </si>
  <si>
    <t>None</t>
  </si>
  <si>
    <t>Feb, May-Jun, Oct-Dec</t>
  </si>
  <si>
    <t>July-Septemeber</t>
  </si>
  <si>
    <t>April (Semana Santa)</t>
  </si>
  <si>
    <t>March (Mardi Gras)</t>
  </si>
  <si>
    <t>Mid-January</t>
  </si>
  <si>
    <t>Oct, Dec</t>
  </si>
  <si>
    <t>May-September, November</t>
  </si>
  <si>
    <t>Up to 52% occupancy drop if below 5.0</t>
  </si>
  <si>
    <t>Up to 24% occupancy drop if below 5.0</t>
  </si>
  <si>
    <t>Up to 21.7% higher occupancy if below 5.0</t>
  </si>
  <si>
    <t>Tier 2</t>
  </si>
  <si>
    <t>Up to 47% occupancy drop if below 5.0</t>
  </si>
  <si>
    <t xml:space="preserve">Price </t>
  </si>
  <si>
    <t>NO GO</t>
  </si>
  <si>
    <t>GO</t>
  </si>
  <si>
    <t>N/A</t>
  </si>
  <si>
    <t>Local Law 18 restricts new entrants</t>
  </si>
  <si>
    <t>100% short term, underpriced</t>
  </si>
  <si>
    <t>Underpriced, high demand, 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</si>
</sst>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Aptos Narrow"/>
      <family val="2"/>
      <scheme val="minor"/>
    </font>
    <font>
      <sz val="12"/>
      <color theme="0"/>
      <name val="Aptos Narrow"/>
      <family val="2"/>
      <scheme val="minor"/>
    </font>
    <font>
      <b/>
      <sz val="12"/>
      <color theme="1"/>
      <name val="Aptos Narrow"/>
      <scheme val="minor"/>
    </font>
    <font>
      <b/>
      <sz val="16"/>
      <color theme="0"/>
      <name val="Aptos Narrow (Body)"/>
    </font>
    <font>
      <sz val="12"/>
      <color theme="1"/>
      <name val="Aptos Narrow"/>
      <scheme val="minor"/>
    </font>
    <font>
      <sz val="12"/>
      <color rgb="FF000000"/>
      <name val="Aptos Narrow"/>
      <scheme val="minor"/>
    </font>
    <font>
      <b/>
      <sz val="12"/>
      <color theme="0"/>
      <name val="Aptos Narrow"/>
      <scheme val="minor"/>
    </font>
  </fonts>
  <fills count="4">
    <fill>
      <patternFill patternType="none"/>
    </fill>
    <fill>
      <patternFill patternType="gray125"/>
    </fill>
    <fill>
      <patternFill patternType="solid">
        <fgColor rgb="FF002060"/>
        <bgColor indexed="64"/>
      </patternFill>
    </fill>
    <fill>
      <patternFill patternType="solid">
        <fgColor theme="3"/>
        <bgColor indexed="64"/>
      </patternFill>
    </fill>
  </fills>
  <borders count="11">
    <border>
      <left/>
      <right/>
      <top/>
      <bottom/>
      <diagonal/>
    </border>
    <border>
      <left/>
      <right/>
      <top/>
      <bottom style="thin">
        <color theme="4" tint="0.39997558519241921"/>
      </bottom>
      <diagonal/>
    </border>
    <border>
      <left/>
      <right/>
      <top/>
      <bottom style="thin">
        <color rgb="FF44B3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0" fontId="0" fillId="0" borderId="0" xfId="0" applyNumberFormat="1"/>
    <xf numFmtId="0" fontId="2" fillId="0" borderId="0" xfId="0" applyFont="1"/>
    <xf numFmtId="164" fontId="0" fillId="0" borderId="0" xfId="0" applyNumberFormat="1"/>
    <xf numFmtId="0" fontId="0" fillId="0" borderId="0" xfId="0" applyAlignment="1">
      <alignment wrapText="1"/>
    </xf>
    <xf numFmtId="0" fontId="4" fillId="0" borderId="1" xfId="0" applyFont="1" applyBorder="1" applyAlignment="1">
      <alignment vertical="center"/>
    </xf>
    <xf numFmtId="0" fontId="5" fillId="0" borderId="2" xfId="0" applyFont="1" applyBorder="1" applyAlignment="1">
      <alignment vertical="center"/>
    </xf>
    <xf numFmtId="0" fontId="6" fillId="3" borderId="3" xfId="0" applyFont="1" applyFill="1" applyBorder="1" applyAlignment="1">
      <alignment vertical="center"/>
    </xf>
    <xf numFmtId="0" fontId="6" fillId="3" borderId="4" xfId="0" applyFont="1" applyFill="1" applyBorder="1" applyAlignment="1">
      <alignment vertical="center"/>
    </xf>
    <xf numFmtId="0" fontId="6" fillId="3" borderId="5" xfId="0" applyFont="1" applyFill="1" applyBorder="1" applyAlignment="1">
      <alignment vertical="center"/>
    </xf>
    <xf numFmtId="0" fontId="0" fillId="0" borderId="6" xfId="0" applyBorder="1" applyAlignment="1">
      <alignment vertical="center"/>
    </xf>
    <xf numFmtId="0" fontId="0" fillId="0" borderId="0" xfId="0" applyAlignment="1">
      <alignment vertical="center"/>
    </xf>
    <xf numFmtId="0" fontId="0" fillId="0" borderId="7" xfId="0" applyBorder="1" applyAlignment="1">
      <alignment vertical="center"/>
    </xf>
    <xf numFmtId="0" fontId="0" fillId="0" borderId="8" xfId="0" applyBorder="1" applyAlignment="1">
      <alignment vertical="center"/>
    </xf>
    <xf numFmtId="0" fontId="4" fillId="0" borderId="9"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6" fillId="3" borderId="3" xfId="0" applyFont="1" applyFill="1" applyBorder="1"/>
    <xf numFmtId="0" fontId="6" fillId="3" borderId="4" xfId="0" applyFont="1" applyFill="1" applyBorder="1"/>
    <xf numFmtId="0" fontId="6" fillId="3" borderId="5" xfId="0" applyFont="1" applyFill="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3"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36">
    <dxf>
      <font>
        <color theme="0"/>
      </font>
      <fill>
        <patternFill>
          <bgColor theme="9"/>
        </patternFill>
      </fill>
    </dxf>
    <dxf>
      <font>
        <color theme="1"/>
      </font>
      <fill>
        <patternFill>
          <bgColor rgb="FFFFFF00"/>
        </patternFill>
      </fill>
    </dxf>
    <dxf>
      <font>
        <color theme="0"/>
      </font>
      <fill>
        <patternFill>
          <bgColor rgb="FFFF0000"/>
        </patternFill>
      </fill>
    </dxf>
    <dxf>
      <font>
        <color theme="0"/>
      </font>
      <fill>
        <patternFill>
          <bgColor theme="9"/>
        </patternFill>
      </fill>
    </dxf>
    <dxf>
      <font>
        <color theme="0"/>
      </font>
      <fill>
        <patternFill>
          <bgColor rgb="FFC00000"/>
        </patternFill>
      </fill>
    </dxf>
    <dxf>
      <font>
        <color theme="0"/>
      </font>
      <fill>
        <patternFill>
          <bgColor rgb="FFC00000"/>
        </patternFill>
      </fill>
    </dxf>
    <dxf>
      <font>
        <color theme="0"/>
      </font>
      <fill>
        <patternFill>
          <bgColor rgb="FFFFC000"/>
        </patternFill>
      </fill>
    </dxf>
    <dxf>
      <font>
        <color theme="1"/>
      </font>
      <fill>
        <patternFill>
          <bgColor rgb="FFFFFF00"/>
        </patternFill>
      </fill>
    </dxf>
    <dxf>
      <font>
        <color theme="0"/>
      </font>
      <fill>
        <patternFill>
          <bgColor theme="1" tint="0.499984740745262"/>
        </patternFill>
      </fill>
    </dxf>
    <dxf>
      <font>
        <color theme="0"/>
      </font>
      <fill>
        <patternFill>
          <bgColor theme="6"/>
        </patternFill>
      </fill>
    </dxf>
    <dxf>
      <font>
        <color theme="1"/>
      </font>
      <fill>
        <patternFill>
          <bgColor rgb="FFFFFF00"/>
        </patternFill>
      </fill>
    </dxf>
    <dxf>
      <font>
        <color theme="0"/>
      </font>
      <fill>
        <patternFill>
          <bgColor rgb="FFFFC000"/>
        </patternFill>
      </fill>
    </dxf>
    <dxf>
      <font>
        <color theme="0"/>
      </font>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[travel_project.xlsx]pivot_neighborhood!PivotTable2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Neighborhood Occupancy By City</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27850466955754"/>
          <c:y val="2.6519072913922224E-2"/>
          <c:w val="0.47478831994196768"/>
          <c:h val="0.92716101581271482"/>
        </c:manualLayout>
      </c:layout>
      <c:barChart>
        <c:barDir val="bar"/>
        <c:grouping val="clustered"/>
        <c:varyColors val="0"/>
        <c:ser>
          <c:idx val="0"/>
          <c:order val="0"/>
          <c:tx>
            <c:strRef>
              <c:f>pivot_neighborhood!$B$3</c:f>
              <c:strCache>
                <c:ptCount val="1"/>
                <c:pt idx="0">
                  <c:v>Listings</c:v>
                </c:pt>
              </c:strCache>
            </c:strRef>
          </c:tx>
          <c:spPr>
            <a:solidFill>
              <a:schemeClr val="accent1"/>
            </a:solidFill>
            <a:ln>
              <a:noFill/>
            </a:ln>
            <a:effectLst/>
          </c:spPr>
          <c:invertIfNegative val="0"/>
          <c:cat>
            <c:multiLvlStrRef>
              <c:f>pivot_neighborhood!$A$4:$A$61</c:f>
              <c:multiLvlStrCache>
                <c:ptCount val="54"/>
                <c:lvl>
                  <c:pt idx="0">
                    <c:v>Benito Juárez</c:v>
                  </c:pt>
                  <c:pt idx="1">
                    <c:v>Coyoacán</c:v>
                  </c:pt>
                  <c:pt idx="2">
                    <c:v>Iztacalco</c:v>
                  </c:pt>
                  <c:pt idx="3">
                    <c:v>Venustiano Carranza</c:v>
                  </c:pt>
                  <c:pt idx="4">
                    <c:v>Algiers Point</c:v>
                  </c:pt>
                  <c:pt idx="5">
                    <c:v>Audubon</c:v>
                  </c:pt>
                  <c:pt idx="6">
                    <c:v>Bayou St. John</c:v>
                  </c:pt>
                  <c:pt idx="7">
                    <c:v>Broadmoor</c:v>
                  </c:pt>
                  <c:pt idx="8">
                    <c:v>Bywater</c:v>
                  </c:pt>
                  <c:pt idx="9">
                    <c:v>City Park</c:v>
                  </c:pt>
                  <c:pt idx="10">
                    <c:v>Dillard</c:v>
                  </c:pt>
                  <c:pt idx="11">
                    <c:v>East Carrollton</c:v>
                  </c:pt>
                  <c:pt idx="12">
                    <c:v>Fairgrounds</c:v>
                  </c:pt>
                  <c:pt idx="13">
                    <c:v>Freret</c:v>
                  </c:pt>
                  <c:pt idx="14">
                    <c:v>Gentilly Terrace</c:v>
                  </c:pt>
                  <c:pt idx="15">
                    <c:v>Holy Cross</c:v>
                  </c:pt>
                  <c:pt idx="16">
                    <c:v>Irish Channel</c:v>
                  </c:pt>
                  <c:pt idx="17">
                    <c:v>Lakeview</c:v>
                  </c:pt>
                  <c:pt idx="18">
                    <c:v>Leonidas</c:v>
                  </c:pt>
                  <c:pt idx="19">
                    <c:v>Lower Ninth Ward</c:v>
                  </c:pt>
                  <c:pt idx="20">
                    <c:v>Marlyville - Fontainbleau</c:v>
                  </c:pt>
                  <c:pt idx="21">
                    <c:v>Mcdonogh</c:v>
                  </c:pt>
                  <c:pt idx="22">
                    <c:v>Milneburg</c:v>
                  </c:pt>
                  <c:pt idx="23">
                    <c:v>Navarre</c:v>
                  </c:pt>
                  <c:pt idx="24">
                    <c:v>Seventh Ward</c:v>
                  </c:pt>
                  <c:pt idx="25">
                    <c:v>St. Roch</c:v>
                  </c:pt>
                  <c:pt idx="26">
                    <c:v>West Riverside</c:v>
                  </c:pt>
                  <c:pt idx="27">
                    <c:v>Arverne</c:v>
                  </c:pt>
                  <c:pt idx="28">
                    <c:v>Bedford-Stuyvesant</c:v>
                  </c:pt>
                  <c:pt idx="29">
                    <c:v>Bushwick</c:v>
                  </c:pt>
                  <c:pt idx="30">
                    <c:v>Carroll Gardens</c:v>
                  </c:pt>
                  <c:pt idx="31">
                    <c:v>Chelsea</c:v>
                  </c:pt>
                  <c:pt idx="32">
                    <c:v>Chinatown</c:v>
                  </c:pt>
                  <c:pt idx="33">
                    <c:v>Clinton Hill</c:v>
                  </c:pt>
                  <c:pt idx="34">
                    <c:v>College Point</c:v>
                  </c:pt>
                  <c:pt idx="35">
                    <c:v>Concourse</c:v>
                  </c:pt>
                  <c:pt idx="36">
                    <c:v>Cypress Hills</c:v>
                  </c:pt>
                  <c:pt idx="37">
                    <c:v>East Harlem</c:v>
                  </c:pt>
                  <c:pt idx="38">
                    <c:v>Flatbush</c:v>
                  </c:pt>
                  <c:pt idx="39">
                    <c:v>Fort Greene</c:v>
                  </c:pt>
                  <c:pt idx="40">
                    <c:v>Gowanus</c:v>
                  </c:pt>
                  <c:pt idx="41">
                    <c:v>Gramercy</c:v>
                  </c:pt>
                  <c:pt idx="42">
                    <c:v>Laurelton</c:v>
                  </c:pt>
                  <c:pt idx="43">
                    <c:v>Maspeth</c:v>
                  </c:pt>
                  <c:pt idx="44">
                    <c:v>Nolita</c:v>
                  </c:pt>
                  <c:pt idx="45">
                    <c:v>Park Slope</c:v>
                  </c:pt>
                  <c:pt idx="46">
                    <c:v>Prospect-Lefferts Gardens</c:v>
                  </c:pt>
                  <c:pt idx="47">
                    <c:v>Richmond Hill</c:v>
                  </c:pt>
                  <c:pt idx="48">
                    <c:v>Ridgewood</c:v>
                  </c:pt>
                  <c:pt idx="49">
                    <c:v>St. Albans</c:v>
                  </c:pt>
                  <c:pt idx="50">
                    <c:v>Sunnyside</c:v>
                  </c:pt>
                  <c:pt idx="51">
                    <c:v>Sunset Park</c:v>
                  </c:pt>
                  <c:pt idx="52">
                    <c:v>Washington Heights</c:v>
                  </c:pt>
                  <c:pt idx="53">
                    <c:v>Williamsburg</c:v>
                  </c:pt>
                </c:lvl>
                <c:lvl>
                  <c:pt idx="0">
                    <c:v>Mexico City</c:v>
                  </c:pt>
                  <c:pt idx="4">
                    <c:v>New Orleans</c:v>
                  </c:pt>
                  <c:pt idx="27">
                    <c:v>NYC</c:v>
                  </c:pt>
                </c:lvl>
              </c:multiLvlStrCache>
            </c:multiLvlStrRef>
          </c:cat>
          <c:val>
            <c:numRef>
              <c:f>pivot_neighborhood!$B$4:$B$61</c:f>
              <c:numCache>
                <c:formatCode>General</c:formatCode>
                <c:ptCount val="54"/>
                <c:pt idx="0">
                  <c:v>2425</c:v>
                </c:pt>
                <c:pt idx="1">
                  <c:v>1389</c:v>
                </c:pt>
                <c:pt idx="2">
                  <c:v>414</c:v>
                </c:pt>
                <c:pt idx="3">
                  <c:v>808</c:v>
                </c:pt>
                <c:pt idx="4">
                  <c:v>29</c:v>
                </c:pt>
                <c:pt idx="5">
                  <c:v>40</c:v>
                </c:pt>
                <c:pt idx="6">
                  <c:v>58</c:v>
                </c:pt>
                <c:pt idx="7">
                  <c:v>49</c:v>
                </c:pt>
                <c:pt idx="8">
                  <c:v>126</c:v>
                </c:pt>
                <c:pt idx="9">
                  <c:v>24</c:v>
                </c:pt>
                <c:pt idx="10">
                  <c:v>14</c:v>
                </c:pt>
                <c:pt idx="11">
                  <c:v>17</c:v>
                </c:pt>
                <c:pt idx="12">
                  <c:v>28</c:v>
                </c:pt>
                <c:pt idx="13">
                  <c:v>24</c:v>
                </c:pt>
                <c:pt idx="14">
                  <c:v>16</c:v>
                </c:pt>
                <c:pt idx="15">
                  <c:v>12</c:v>
                </c:pt>
                <c:pt idx="16">
                  <c:v>58</c:v>
                </c:pt>
                <c:pt idx="17">
                  <c:v>14</c:v>
                </c:pt>
                <c:pt idx="18">
                  <c:v>34</c:v>
                </c:pt>
                <c:pt idx="19">
                  <c:v>10</c:v>
                </c:pt>
                <c:pt idx="20">
                  <c:v>24</c:v>
                </c:pt>
                <c:pt idx="21">
                  <c:v>24</c:v>
                </c:pt>
                <c:pt idx="22">
                  <c:v>12</c:v>
                </c:pt>
                <c:pt idx="23">
                  <c:v>11</c:v>
                </c:pt>
                <c:pt idx="24">
                  <c:v>182</c:v>
                </c:pt>
                <c:pt idx="25">
                  <c:v>68</c:v>
                </c:pt>
                <c:pt idx="26">
                  <c:v>68</c:v>
                </c:pt>
                <c:pt idx="27">
                  <c:v>10</c:v>
                </c:pt>
                <c:pt idx="28">
                  <c:v>276</c:v>
                </c:pt>
                <c:pt idx="29">
                  <c:v>111</c:v>
                </c:pt>
                <c:pt idx="30">
                  <c:v>10</c:v>
                </c:pt>
                <c:pt idx="31">
                  <c:v>121</c:v>
                </c:pt>
                <c:pt idx="32">
                  <c:v>62</c:v>
                </c:pt>
                <c:pt idx="33">
                  <c:v>18</c:v>
                </c:pt>
                <c:pt idx="34">
                  <c:v>11</c:v>
                </c:pt>
                <c:pt idx="35">
                  <c:v>11</c:v>
                </c:pt>
                <c:pt idx="36">
                  <c:v>30</c:v>
                </c:pt>
                <c:pt idx="37">
                  <c:v>46</c:v>
                </c:pt>
                <c:pt idx="38">
                  <c:v>48</c:v>
                </c:pt>
                <c:pt idx="39">
                  <c:v>14</c:v>
                </c:pt>
                <c:pt idx="40">
                  <c:v>14</c:v>
                </c:pt>
                <c:pt idx="41">
                  <c:v>32</c:v>
                </c:pt>
                <c:pt idx="42">
                  <c:v>11</c:v>
                </c:pt>
                <c:pt idx="43">
                  <c:v>11</c:v>
                </c:pt>
                <c:pt idx="44">
                  <c:v>12</c:v>
                </c:pt>
                <c:pt idx="45">
                  <c:v>27</c:v>
                </c:pt>
                <c:pt idx="46">
                  <c:v>29</c:v>
                </c:pt>
                <c:pt idx="47">
                  <c:v>23</c:v>
                </c:pt>
                <c:pt idx="48">
                  <c:v>22</c:v>
                </c:pt>
                <c:pt idx="49">
                  <c:v>23</c:v>
                </c:pt>
                <c:pt idx="50">
                  <c:v>26</c:v>
                </c:pt>
                <c:pt idx="51">
                  <c:v>45</c:v>
                </c:pt>
                <c:pt idx="52">
                  <c:v>29</c:v>
                </c:pt>
                <c:pt idx="53">
                  <c:v>110</c:v>
                </c:pt>
              </c:numCache>
            </c:numRef>
          </c:val>
          <c:extLst>
            <c:ext xmlns:c16="http://schemas.microsoft.com/office/drawing/2014/chart" uri="{C3380CC4-5D6E-409C-BE32-E72D297353CC}">
              <c16:uniqueId val="{00000000-499F-FA4D-BB3E-1C488B4E533C}"/>
            </c:ext>
          </c:extLst>
        </c:ser>
        <c:ser>
          <c:idx val="1"/>
          <c:order val="1"/>
          <c:tx>
            <c:strRef>
              <c:f>pivot_neighborhood!$C$3</c:f>
              <c:strCache>
                <c:ptCount val="1"/>
                <c:pt idx="0">
                  <c:v>Avg Price (USD)</c:v>
                </c:pt>
              </c:strCache>
            </c:strRef>
          </c:tx>
          <c:spPr>
            <a:solidFill>
              <a:schemeClr val="accent2"/>
            </a:solidFill>
            <a:ln>
              <a:noFill/>
            </a:ln>
            <a:effectLst/>
          </c:spPr>
          <c:invertIfNegative val="0"/>
          <c:cat>
            <c:multiLvlStrRef>
              <c:f>pivot_neighborhood!$A$4:$A$61</c:f>
              <c:multiLvlStrCache>
                <c:ptCount val="54"/>
                <c:lvl>
                  <c:pt idx="0">
                    <c:v>Benito Juárez</c:v>
                  </c:pt>
                  <c:pt idx="1">
                    <c:v>Coyoacán</c:v>
                  </c:pt>
                  <c:pt idx="2">
                    <c:v>Iztacalco</c:v>
                  </c:pt>
                  <c:pt idx="3">
                    <c:v>Venustiano Carranza</c:v>
                  </c:pt>
                  <c:pt idx="4">
                    <c:v>Algiers Point</c:v>
                  </c:pt>
                  <c:pt idx="5">
                    <c:v>Audubon</c:v>
                  </c:pt>
                  <c:pt idx="6">
                    <c:v>Bayou St. John</c:v>
                  </c:pt>
                  <c:pt idx="7">
                    <c:v>Broadmoor</c:v>
                  </c:pt>
                  <c:pt idx="8">
                    <c:v>Bywater</c:v>
                  </c:pt>
                  <c:pt idx="9">
                    <c:v>City Park</c:v>
                  </c:pt>
                  <c:pt idx="10">
                    <c:v>Dillard</c:v>
                  </c:pt>
                  <c:pt idx="11">
                    <c:v>East Carrollton</c:v>
                  </c:pt>
                  <c:pt idx="12">
                    <c:v>Fairgrounds</c:v>
                  </c:pt>
                  <c:pt idx="13">
                    <c:v>Freret</c:v>
                  </c:pt>
                  <c:pt idx="14">
                    <c:v>Gentilly Terrace</c:v>
                  </c:pt>
                  <c:pt idx="15">
                    <c:v>Holy Cross</c:v>
                  </c:pt>
                  <c:pt idx="16">
                    <c:v>Irish Channel</c:v>
                  </c:pt>
                  <c:pt idx="17">
                    <c:v>Lakeview</c:v>
                  </c:pt>
                  <c:pt idx="18">
                    <c:v>Leonidas</c:v>
                  </c:pt>
                  <c:pt idx="19">
                    <c:v>Lower Ninth Ward</c:v>
                  </c:pt>
                  <c:pt idx="20">
                    <c:v>Marlyville - Fontainbleau</c:v>
                  </c:pt>
                  <c:pt idx="21">
                    <c:v>Mcdonogh</c:v>
                  </c:pt>
                  <c:pt idx="22">
                    <c:v>Milneburg</c:v>
                  </c:pt>
                  <c:pt idx="23">
                    <c:v>Navarre</c:v>
                  </c:pt>
                  <c:pt idx="24">
                    <c:v>Seventh Ward</c:v>
                  </c:pt>
                  <c:pt idx="25">
                    <c:v>St. Roch</c:v>
                  </c:pt>
                  <c:pt idx="26">
                    <c:v>West Riverside</c:v>
                  </c:pt>
                  <c:pt idx="27">
                    <c:v>Arverne</c:v>
                  </c:pt>
                  <c:pt idx="28">
                    <c:v>Bedford-Stuyvesant</c:v>
                  </c:pt>
                  <c:pt idx="29">
                    <c:v>Bushwick</c:v>
                  </c:pt>
                  <c:pt idx="30">
                    <c:v>Carroll Gardens</c:v>
                  </c:pt>
                  <c:pt idx="31">
                    <c:v>Chelsea</c:v>
                  </c:pt>
                  <c:pt idx="32">
                    <c:v>Chinatown</c:v>
                  </c:pt>
                  <c:pt idx="33">
                    <c:v>Clinton Hill</c:v>
                  </c:pt>
                  <c:pt idx="34">
                    <c:v>College Point</c:v>
                  </c:pt>
                  <c:pt idx="35">
                    <c:v>Concourse</c:v>
                  </c:pt>
                  <c:pt idx="36">
                    <c:v>Cypress Hills</c:v>
                  </c:pt>
                  <c:pt idx="37">
                    <c:v>East Harlem</c:v>
                  </c:pt>
                  <c:pt idx="38">
                    <c:v>Flatbush</c:v>
                  </c:pt>
                  <c:pt idx="39">
                    <c:v>Fort Greene</c:v>
                  </c:pt>
                  <c:pt idx="40">
                    <c:v>Gowanus</c:v>
                  </c:pt>
                  <c:pt idx="41">
                    <c:v>Gramercy</c:v>
                  </c:pt>
                  <c:pt idx="42">
                    <c:v>Laurelton</c:v>
                  </c:pt>
                  <c:pt idx="43">
                    <c:v>Maspeth</c:v>
                  </c:pt>
                  <c:pt idx="44">
                    <c:v>Nolita</c:v>
                  </c:pt>
                  <c:pt idx="45">
                    <c:v>Park Slope</c:v>
                  </c:pt>
                  <c:pt idx="46">
                    <c:v>Prospect-Lefferts Gardens</c:v>
                  </c:pt>
                  <c:pt idx="47">
                    <c:v>Richmond Hill</c:v>
                  </c:pt>
                  <c:pt idx="48">
                    <c:v>Ridgewood</c:v>
                  </c:pt>
                  <c:pt idx="49">
                    <c:v>St. Albans</c:v>
                  </c:pt>
                  <c:pt idx="50">
                    <c:v>Sunnyside</c:v>
                  </c:pt>
                  <c:pt idx="51">
                    <c:v>Sunset Park</c:v>
                  </c:pt>
                  <c:pt idx="52">
                    <c:v>Washington Heights</c:v>
                  </c:pt>
                  <c:pt idx="53">
                    <c:v>Williamsburg</c:v>
                  </c:pt>
                </c:lvl>
                <c:lvl>
                  <c:pt idx="0">
                    <c:v>Mexico City</c:v>
                  </c:pt>
                  <c:pt idx="4">
                    <c:v>New Orleans</c:v>
                  </c:pt>
                  <c:pt idx="27">
                    <c:v>NYC</c:v>
                  </c:pt>
                </c:lvl>
              </c:multiLvlStrCache>
            </c:multiLvlStrRef>
          </c:cat>
          <c:val>
            <c:numRef>
              <c:f>pivot_neighborhood!$C$4:$C$61</c:f>
              <c:numCache>
                <c:formatCode>General</c:formatCode>
                <c:ptCount val="54"/>
                <c:pt idx="0">
                  <c:v>83.466999999999999</c:v>
                </c:pt>
                <c:pt idx="1">
                  <c:v>98.897000000000006</c:v>
                </c:pt>
                <c:pt idx="2">
                  <c:v>68.871000000000009</c:v>
                </c:pt>
                <c:pt idx="3">
                  <c:v>61.250999999999998</c:v>
                </c:pt>
                <c:pt idx="4">
                  <c:v>298.72000000000003</c:v>
                </c:pt>
                <c:pt idx="5">
                  <c:v>330.78</c:v>
                </c:pt>
                <c:pt idx="6">
                  <c:v>282.35000000000002</c:v>
                </c:pt>
                <c:pt idx="7">
                  <c:v>312.66000000000003</c:v>
                </c:pt>
                <c:pt idx="8">
                  <c:v>325.83</c:v>
                </c:pt>
                <c:pt idx="9">
                  <c:v>311.89999999999998</c:v>
                </c:pt>
                <c:pt idx="10">
                  <c:v>313.87</c:v>
                </c:pt>
                <c:pt idx="11">
                  <c:v>285.76</c:v>
                </c:pt>
                <c:pt idx="12">
                  <c:v>322.69</c:v>
                </c:pt>
                <c:pt idx="13">
                  <c:v>310.33999999999997</c:v>
                </c:pt>
                <c:pt idx="14">
                  <c:v>256.27</c:v>
                </c:pt>
                <c:pt idx="15">
                  <c:v>262.76</c:v>
                </c:pt>
                <c:pt idx="16">
                  <c:v>291.08999999999997</c:v>
                </c:pt>
                <c:pt idx="17">
                  <c:v>281.27999999999997</c:v>
                </c:pt>
                <c:pt idx="18">
                  <c:v>226.25</c:v>
                </c:pt>
                <c:pt idx="19">
                  <c:v>295.72000000000003</c:v>
                </c:pt>
                <c:pt idx="20">
                  <c:v>320.39999999999998</c:v>
                </c:pt>
                <c:pt idx="21">
                  <c:v>241.42</c:v>
                </c:pt>
                <c:pt idx="22">
                  <c:v>212.92</c:v>
                </c:pt>
                <c:pt idx="23">
                  <c:v>350.23</c:v>
                </c:pt>
                <c:pt idx="24">
                  <c:v>324.93</c:v>
                </c:pt>
                <c:pt idx="25">
                  <c:v>270.92</c:v>
                </c:pt>
                <c:pt idx="26">
                  <c:v>338.1</c:v>
                </c:pt>
                <c:pt idx="27">
                  <c:v>291.05</c:v>
                </c:pt>
                <c:pt idx="28">
                  <c:v>272.64999999999998</c:v>
                </c:pt>
                <c:pt idx="29">
                  <c:v>233.28</c:v>
                </c:pt>
                <c:pt idx="30">
                  <c:v>332.34</c:v>
                </c:pt>
                <c:pt idx="31">
                  <c:v>295.86</c:v>
                </c:pt>
                <c:pt idx="32">
                  <c:v>303.13</c:v>
                </c:pt>
                <c:pt idx="33">
                  <c:v>277.18</c:v>
                </c:pt>
                <c:pt idx="34">
                  <c:v>197.86</c:v>
                </c:pt>
                <c:pt idx="35">
                  <c:v>141.22999999999999</c:v>
                </c:pt>
                <c:pt idx="36">
                  <c:v>293.01</c:v>
                </c:pt>
                <c:pt idx="37">
                  <c:v>307.36</c:v>
                </c:pt>
                <c:pt idx="38">
                  <c:v>241.68</c:v>
                </c:pt>
                <c:pt idx="39">
                  <c:v>343.27</c:v>
                </c:pt>
                <c:pt idx="40">
                  <c:v>326.24</c:v>
                </c:pt>
                <c:pt idx="41">
                  <c:v>236.45</c:v>
                </c:pt>
                <c:pt idx="42">
                  <c:v>226.74</c:v>
                </c:pt>
                <c:pt idx="43">
                  <c:v>203.01</c:v>
                </c:pt>
                <c:pt idx="44">
                  <c:v>313.16000000000003</c:v>
                </c:pt>
                <c:pt idx="45">
                  <c:v>339.58</c:v>
                </c:pt>
                <c:pt idx="46">
                  <c:v>259.69</c:v>
                </c:pt>
                <c:pt idx="47">
                  <c:v>216.69</c:v>
                </c:pt>
                <c:pt idx="48">
                  <c:v>275.83</c:v>
                </c:pt>
                <c:pt idx="49">
                  <c:v>185.29</c:v>
                </c:pt>
                <c:pt idx="50">
                  <c:v>270.29000000000002</c:v>
                </c:pt>
                <c:pt idx="51">
                  <c:v>221.54</c:v>
                </c:pt>
                <c:pt idx="52">
                  <c:v>298.97000000000003</c:v>
                </c:pt>
                <c:pt idx="53">
                  <c:v>294.89</c:v>
                </c:pt>
              </c:numCache>
            </c:numRef>
          </c:val>
          <c:extLst>
            <c:ext xmlns:c16="http://schemas.microsoft.com/office/drawing/2014/chart" uri="{C3380CC4-5D6E-409C-BE32-E72D297353CC}">
              <c16:uniqueId val="{00000004-499F-FA4D-BB3E-1C488B4E533C}"/>
            </c:ext>
          </c:extLst>
        </c:ser>
        <c:ser>
          <c:idx val="2"/>
          <c:order val="2"/>
          <c:tx>
            <c:strRef>
              <c:f>pivot_neighborhood!$D$3</c:f>
              <c:strCache>
                <c:ptCount val="1"/>
                <c:pt idx="0">
                  <c:v>Avg Occupancy</c:v>
                </c:pt>
              </c:strCache>
            </c:strRef>
          </c:tx>
          <c:spPr>
            <a:solidFill>
              <a:schemeClr val="accent3"/>
            </a:solidFill>
            <a:ln>
              <a:noFill/>
            </a:ln>
            <a:effectLst/>
          </c:spPr>
          <c:invertIfNegative val="0"/>
          <c:cat>
            <c:multiLvlStrRef>
              <c:f>pivot_neighborhood!$A$4:$A$61</c:f>
              <c:multiLvlStrCache>
                <c:ptCount val="54"/>
                <c:lvl>
                  <c:pt idx="0">
                    <c:v>Benito Juárez</c:v>
                  </c:pt>
                  <c:pt idx="1">
                    <c:v>Coyoacán</c:v>
                  </c:pt>
                  <c:pt idx="2">
                    <c:v>Iztacalco</c:v>
                  </c:pt>
                  <c:pt idx="3">
                    <c:v>Venustiano Carranza</c:v>
                  </c:pt>
                  <c:pt idx="4">
                    <c:v>Algiers Point</c:v>
                  </c:pt>
                  <c:pt idx="5">
                    <c:v>Audubon</c:v>
                  </c:pt>
                  <c:pt idx="6">
                    <c:v>Bayou St. John</c:v>
                  </c:pt>
                  <c:pt idx="7">
                    <c:v>Broadmoor</c:v>
                  </c:pt>
                  <c:pt idx="8">
                    <c:v>Bywater</c:v>
                  </c:pt>
                  <c:pt idx="9">
                    <c:v>City Park</c:v>
                  </c:pt>
                  <c:pt idx="10">
                    <c:v>Dillard</c:v>
                  </c:pt>
                  <c:pt idx="11">
                    <c:v>East Carrollton</c:v>
                  </c:pt>
                  <c:pt idx="12">
                    <c:v>Fairgrounds</c:v>
                  </c:pt>
                  <c:pt idx="13">
                    <c:v>Freret</c:v>
                  </c:pt>
                  <c:pt idx="14">
                    <c:v>Gentilly Terrace</c:v>
                  </c:pt>
                  <c:pt idx="15">
                    <c:v>Holy Cross</c:v>
                  </c:pt>
                  <c:pt idx="16">
                    <c:v>Irish Channel</c:v>
                  </c:pt>
                  <c:pt idx="17">
                    <c:v>Lakeview</c:v>
                  </c:pt>
                  <c:pt idx="18">
                    <c:v>Leonidas</c:v>
                  </c:pt>
                  <c:pt idx="19">
                    <c:v>Lower Ninth Ward</c:v>
                  </c:pt>
                  <c:pt idx="20">
                    <c:v>Marlyville - Fontainbleau</c:v>
                  </c:pt>
                  <c:pt idx="21">
                    <c:v>Mcdonogh</c:v>
                  </c:pt>
                  <c:pt idx="22">
                    <c:v>Milneburg</c:v>
                  </c:pt>
                  <c:pt idx="23">
                    <c:v>Navarre</c:v>
                  </c:pt>
                  <c:pt idx="24">
                    <c:v>Seventh Ward</c:v>
                  </c:pt>
                  <c:pt idx="25">
                    <c:v>St. Roch</c:v>
                  </c:pt>
                  <c:pt idx="26">
                    <c:v>West Riverside</c:v>
                  </c:pt>
                  <c:pt idx="27">
                    <c:v>Arverne</c:v>
                  </c:pt>
                  <c:pt idx="28">
                    <c:v>Bedford-Stuyvesant</c:v>
                  </c:pt>
                  <c:pt idx="29">
                    <c:v>Bushwick</c:v>
                  </c:pt>
                  <c:pt idx="30">
                    <c:v>Carroll Gardens</c:v>
                  </c:pt>
                  <c:pt idx="31">
                    <c:v>Chelsea</c:v>
                  </c:pt>
                  <c:pt idx="32">
                    <c:v>Chinatown</c:v>
                  </c:pt>
                  <c:pt idx="33">
                    <c:v>Clinton Hill</c:v>
                  </c:pt>
                  <c:pt idx="34">
                    <c:v>College Point</c:v>
                  </c:pt>
                  <c:pt idx="35">
                    <c:v>Concourse</c:v>
                  </c:pt>
                  <c:pt idx="36">
                    <c:v>Cypress Hills</c:v>
                  </c:pt>
                  <c:pt idx="37">
                    <c:v>East Harlem</c:v>
                  </c:pt>
                  <c:pt idx="38">
                    <c:v>Flatbush</c:v>
                  </c:pt>
                  <c:pt idx="39">
                    <c:v>Fort Greene</c:v>
                  </c:pt>
                  <c:pt idx="40">
                    <c:v>Gowanus</c:v>
                  </c:pt>
                  <c:pt idx="41">
                    <c:v>Gramercy</c:v>
                  </c:pt>
                  <c:pt idx="42">
                    <c:v>Laurelton</c:v>
                  </c:pt>
                  <c:pt idx="43">
                    <c:v>Maspeth</c:v>
                  </c:pt>
                  <c:pt idx="44">
                    <c:v>Nolita</c:v>
                  </c:pt>
                  <c:pt idx="45">
                    <c:v>Park Slope</c:v>
                  </c:pt>
                  <c:pt idx="46">
                    <c:v>Prospect-Lefferts Gardens</c:v>
                  </c:pt>
                  <c:pt idx="47">
                    <c:v>Richmond Hill</c:v>
                  </c:pt>
                  <c:pt idx="48">
                    <c:v>Ridgewood</c:v>
                  </c:pt>
                  <c:pt idx="49">
                    <c:v>St. Albans</c:v>
                  </c:pt>
                  <c:pt idx="50">
                    <c:v>Sunnyside</c:v>
                  </c:pt>
                  <c:pt idx="51">
                    <c:v>Sunset Park</c:v>
                  </c:pt>
                  <c:pt idx="52">
                    <c:v>Washington Heights</c:v>
                  </c:pt>
                  <c:pt idx="53">
                    <c:v>Williamsburg</c:v>
                  </c:pt>
                </c:lvl>
                <c:lvl>
                  <c:pt idx="0">
                    <c:v>Mexico City</c:v>
                  </c:pt>
                  <c:pt idx="4">
                    <c:v>New Orleans</c:v>
                  </c:pt>
                  <c:pt idx="27">
                    <c:v>NYC</c:v>
                  </c:pt>
                </c:lvl>
              </c:multiLvlStrCache>
            </c:multiLvlStrRef>
          </c:cat>
          <c:val>
            <c:numRef>
              <c:f>pivot_neighborhood!$D$4:$D$61</c:f>
              <c:numCache>
                <c:formatCode>0.00%</c:formatCode>
                <c:ptCount val="54"/>
                <c:pt idx="0">
                  <c:v>0.3115</c:v>
                </c:pt>
                <c:pt idx="1">
                  <c:v>0.30630000000000002</c:v>
                </c:pt>
                <c:pt idx="2">
                  <c:v>0.32369999999999999</c:v>
                </c:pt>
                <c:pt idx="3">
                  <c:v>0.31380000000000002</c:v>
                </c:pt>
                <c:pt idx="4">
                  <c:v>0.44409999999999999</c:v>
                </c:pt>
                <c:pt idx="5">
                  <c:v>0.52559999999999996</c:v>
                </c:pt>
                <c:pt idx="6">
                  <c:v>0.4723</c:v>
                </c:pt>
                <c:pt idx="7">
                  <c:v>0.49530000000000002</c:v>
                </c:pt>
                <c:pt idx="8">
                  <c:v>0.41470000000000001</c:v>
                </c:pt>
                <c:pt idx="9">
                  <c:v>0.55410000000000004</c:v>
                </c:pt>
                <c:pt idx="10">
                  <c:v>0.49590000000000001</c:v>
                </c:pt>
                <c:pt idx="11">
                  <c:v>0.49480000000000002</c:v>
                </c:pt>
                <c:pt idx="12">
                  <c:v>0.50670000000000004</c:v>
                </c:pt>
                <c:pt idx="13">
                  <c:v>0.3881</c:v>
                </c:pt>
                <c:pt idx="14">
                  <c:v>0.46079999999999999</c:v>
                </c:pt>
                <c:pt idx="15">
                  <c:v>0.42049999999999998</c:v>
                </c:pt>
                <c:pt idx="16">
                  <c:v>0.50349999999999995</c:v>
                </c:pt>
                <c:pt idx="17">
                  <c:v>0.3624</c:v>
                </c:pt>
                <c:pt idx="18">
                  <c:v>0.42659999999999998</c:v>
                </c:pt>
                <c:pt idx="19">
                  <c:v>0.48110000000000003</c:v>
                </c:pt>
                <c:pt idx="20">
                  <c:v>0.42</c:v>
                </c:pt>
                <c:pt idx="21">
                  <c:v>0.48130000000000001</c:v>
                </c:pt>
                <c:pt idx="22">
                  <c:v>0.41439999999999999</c:v>
                </c:pt>
                <c:pt idx="23">
                  <c:v>0.46500000000000002</c:v>
                </c:pt>
                <c:pt idx="24">
                  <c:v>0.4335</c:v>
                </c:pt>
                <c:pt idx="25">
                  <c:v>0.37109999999999999</c:v>
                </c:pt>
                <c:pt idx="26">
                  <c:v>0.44209999999999999</c:v>
                </c:pt>
                <c:pt idx="27">
                  <c:v>0.48470000000000002</c:v>
                </c:pt>
                <c:pt idx="28">
                  <c:v>0.46860000000000002</c:v>
                </c:pt>
                <c:pt idx="29">
                  <c:v>0.42880000000000001</c:v>
                </c:pt>
                <c:pt idx="30">
                  <c:v>0.55889999999999995</c:v>
                </c:pt>
                <c:pt idx="31">
                  <c:v>0.41339999999999999</c:v>
                </c:pt>
                <c:pt idx="32">
                  <c:v>0.44879999999999998</c:v>
                </c:pt>
                <c:pt idx="33">
                  <c:v>0.49030000000000001</c:v>
                </c:pt>
                <c:pt idx="34">
                  <c:v>0.56859999999999999</c:v>
                </c:pt>
                <c:pt idx="35">
                  <c:v>0.47549999999999998</c:v>
                </c:pt>
                <c:pt idx="36">
                  <c:v>0.41639999999999999</c:v>
                </c:pt>
                <c:pt idx="37">
                  <c:v>0.4224</c:v>
                </c:pt>
                <c:pt idx="38">
                  <c:v>0.41649999999999998</c:v>
                </c:pt>
                <c:pt idx="39">
                  <c:v>0.60270000000000001</c:v>
                </c:pt>
                <c:pt idx="40">
                  <c:v>0.61150000000000004</c:v>
                </c:pt>
                <c:pt idx="41">
                  <c:v>0.68110000000000004</c:v>
                </c:pt>
                <c:pt idx="42">
                  <c:v>0.4224</c:v>
                </c:pt>
                <c:pt idx="43">
                  <c:v>0.4541</c:v>
                </c:pt>
                <c:pt idx="44">
                  <c:v>0.56689999999999996</c:v>
                </c:pt>
                <c:pt idx="45">
                  <c:v>0.51749999999999996</c:v>
                </c:pt>
                <c:pt idx="46">
                  <c:v>0.4834</c:v>
                </c:pt>
                <c:pt idx="47">
                  <c:v>0.41820000000000002</c:v>
                </c:pt>
                <c:pt idx="48">
                  <c:v>0.47560000000000002</c:v>
                </c:pt>
                <c:pt idx="49">
                  <c:v>0.4133</c:v>
                </c:pt>
                <c:pt idx="50">
                  <c:v>0.53669999999999995</c:v>
                </c:pt>
                <c:pt idx="51">
                  <c:v>0.46939999999999998</c:v>
                </c:pt>
                <c:pt idx="52">
                  <c:v>0.45469999999999999</c:v>
                </c:pt>
                <c:pt idx="53">
                  <c:v>0.48449999999999999</c:v>
                </c:pt>
              </c:numCache>
            </c:numRef>
          </c:val>
          <c:extLst>
            <c:ext xmlns:c16="http://schemas.microsoft.com/office/drawing/2014/chart" uri="{C3380CC4-5D6E-409C-BE32-E72D297353CC}">
              <c16:uniqueId val="{00000005-499F-FA4D-BB3E-1C488B4E533C}"/>
            </c:ext>
          </c:extLst>
        </c:ser>
        <c:dLbls>
          <c:showLegendKey val="0"/>
          <c:showVal val="0"/>
          <c:showCatName val="0"/>
          <c:showSerName val="0"/>
          <c:showPercent val="0"/>
          <c:showBubbleSize val="0"/>
        </c:dLbls>
        <c:gapWidth val="219"/>
        <c:axId val="1280205808"/>
        <c:axId val="1279299200"/>
      </c:barChart>
      <c:catAx>
        <c:axId val="128020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99200"/>
        <c:crosses val="autoZero"/>
        <c:auto val="1"/>
        <c:lblAlgn val="ctr"/>
        <c:lblOffset val="100"/>
        <c:noMultiLvlLbl val="0"/>
      </c:catAx>
      <c:valAx>
        <c:axId val="127929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20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[travel_project.xlsx]pivot_seasonality!PivotTable3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a:t>
            </a:r>
            <a:r>
              <a:rPr lang="en-US" baseline="0"/>
              <a:t> Demand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pivot_seasonality!$B$3:$B$4</c:f>
              <c:strCache>
                <c:ptCount val="1"/>
                <c:pt idx="0">
                  <c:v>Mexico City</c:v>
                </c:pt>
              </c:strCache>
            </c:strRef>
          </c:tx>
          <c:spPr>
            <a:ln w="28575" cap="rnd">
              <a:solidFill>
                <a:schemeClr val="accent1"/>
              </a:solidFill>
              <a:round/>
            </a:ln>
            <a:effectLst/>
          </c:spPr>
          <c:marker>
            <c:symbol val="none"/>
          </c:marker>
          <c:cat>
            <c:multiLvlStrRef>
              <c:f>pivot_seasonality!$A$5:$A$29</c:f>
              <c:multiLvlStrCache>
                <c:ptCount val="12"/>
                <c:lvl>
                  <c:pt idx="0">
                    <c:v>January  </c:v>
                  </c:pt>
                  <c:pt idx="1">
                    <c:v>February </c:v>
                  </c:pt>
                  <c:pt idx="2">
                    <c:v>March    </c:v>
                  </c:pt>
                  <c:pt idx="3">
                    <c:v>April    </c:v>
                  </c:pt>
                  <c:pt idx="4">
                    <c:v>May      </c:v>
                  </c:pt>
                  <c:pt idx="5">
                    <c:v>June     </c:v>
                  </c:pt>
                  <c:pt idx="6">
                    <c:v>July     </c:v>
                  </c:pt>
                  <c:pt idx="7">
                    <c:v>August   </c:v>
                  </c:pt>
                  <c:pt idx="8">
                    <c:v>September</c:v>
                  </c:pt>
                  <c:pt idx="9">
                    <c:v>October  </c:v>
                  </c:pt>
                  <c:pt idx="10">
                    <c:v>November </c:v>
                  </c:pt>
                  <c:pt idx="11">
                    <c:v>December </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pivot_seasonality!$B$5:$B$29</c:f>
              <c:numCache>
                <c:formatCode>General</c:formatCode>
                <c:ptCount val="12"/>
                <c:pt idx="0">
                  <c:v>265091</c:v>
                </c:pt>
                <c:pt idx="1">
                  <c:v>241360</c:v>
                </c:pt>
                <c:pt idx="2">
                  <c:v>268402</c:v>
                </c:pt>
                <c:pt idx="3">
                  <c:v>306928</c:v>
                </c:pt>
                <c:pt idx="4">
                  <c:v>192565</c:v>
                </c:pt>
                <c:pt idx="5">
                  <c:v>184340</c:v>
                </c:pt>
                <c:pt idx="6">
                  <c:v>170606</c:v>
                </c:pt>
                <c:pt idx="7">
                  <c:v>160156</c:v>
                </c:pt>
                <c:pt idx="8">
                  <c:v>136115</c:v>
                </c:pt>
                <c:pt idx="9">
                  <c:v>202668</c:v>
                </c:pt>
                <c:pt idx="10">
                  <c:v>188611</c:v>
                </c:pt>
                <c:pt idx="11">
                  <c:v>197032</c:v>
                </c:pt>
              </c:numCache>
            </c:numRef>
          </c:val>
          <c:smooth val="0"/>
          <c:extLst>
            <c:ext xmlns:c16="http://schemas.microsoft.com/office/drawing/2014/chart" uri="{C3380CC4-5D6E-409C-BE32-E72D297353CC}">
              <c16:uniqueId val="{00000000-577B-794A-B311-D162D5AFE95F}"/>
            </c:ext>
          </c:extLst>
        </c:ser>
        <c:ser>
          <c:idx val="1"/>
          <c:order val="1"/>
          <c:tx>
            <c:strRef>
              <c:f>pivot_seasonality!$C$3:$C$4</c:f>
              <c:strCache>
                <c:ptCount val="1"/>
                <c:pt idx="0">
                  <c:v>New Orleans</c:v>
                </c:pt>
              </c:strCache>
            </c:strRef>
          </c:tx>
          <c:spPr>
            <a:ln w="28575" cap="rnd">
              <a:solidFill>
                <a:schemeClr val="accent2"/>
              </a:solidFill>
              <a:round/>
            </a:ln>
            <a:effectLst/>
          </c:spPr>
          <c:marker>
            <c:symbol val="none"/>
          </c:marker>
          <c:cat>
            <c:multiLvlStrRef>
              <c:f>pivot_seasonality!$A$5:$A$29</c:f>
              <c:multiLvlStrCache>
                <c:ptCount val="12"/>
                <c:lvl>
                  <c:pt idx="0">
                    <c:v>January  </c:v>
                  </c:pt>
                  <c:pt idx="1">
                    <c:v>February </c:v>
                  </c:pt>
                  <c:pt idx="2">
                    <c:v>March    </c:v>
                  </c:pt>
                  <c:pt idx="3">
                    <c:v>April    </c:v>
                  </c:pt>
                  <c:pt idx="4">
                    <c:v>May      </c:v>
                  </c:pt>
                  <c:pt idx="5">
                    <c:v>June     </c:v>
                  </c:pt>
                  <c:pt idx="6">
                    <c:v>July     </c:v>
                  </c:pt>
                  <c:pt idx="7">
                    <c:v>August   </c:v>
                  </c:pt>
                  <c:pt idx="8">
                    <c:v>September</c:v>
                  </c:pt>
                  <c:pt idx="9">
                    <c:v>October  </c:v>
                  </c:pt>
                  <c:pt idx="10">
                    <c:v>November </c:v>
                  </c:pt>
                  <c:pt idx="11">
                    <c:v>December </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pivot_seasonality!$C$5:$C$29</c:f>
              <c:numCache>
                <c:formatCode>General</c:formatCode>
                <c:ptCount val="12"/>
                <c:pt idx="0">
                  <c:v>87117</c:v>
                </c:pt>
                <c:pt idx="1">
                  <c:v>84461</c:v>
                </c:pt>
                <c:pt idx="2">
                  <c:v>98297</c:v>
                </c:pt>
                <c:pt idx="3">
                  <c:v>82150</c:v>
                </c:pt>
                <c:pt idx="4">
                  <c:v>50690</c:v>
                </c:pt>
                <c:pt idx="5">
                  <c:v>35746</c:v>
                </c:pt>
                <c:pt idx="6">
                  <c:v>40707</c:v>
                </c:pt>
                <c:pt idx="7">
                  <c:v>35072</c:v>
                </c:pt>
                <c:pt idx="8">
                  <c:v>44659</c:v>
                </c:pt>
                <c:pt idx="9">
                  <c:v>60942</c:v>
                </c:pt>
                <c:pt idx="10">
                  <c:v>58666</c:v>
                </c:pt>
                <c:pt idx="11">
                  <c:v>71724</c:v>
                </c:pt>
              </c:numCache>
            </c:numRef>
          </c:val>
          <c:smooth val="0"/>
          <c:extLst>
            <c:ext xmlns:c16="http://schemas.microsoft.com/office/drawing/2014/chart" uri="{C3380CC4-5D6E-409C-BE32-E72D297353CC}">
              <c16:uniqueId val="{00000001-577B-794A-B311-D162D5AFE95F}"/>
            </c:ext>
          </c:extLst>
        </c:ser>
        <c:ser>
          <c:idx val="2"/>
          <c:order val="2"/>
          <c:tx>
            <c:strRef>
              <c:f>pivot_seasonality!$D$3:$D$4</c:f>
              <c:strCache>
                <c:ptCount val="1"/>
                <c:pt idx="0">
                  <c:v>NYC</c:v>
                </c:pt>
              </c:strCache>
            </c:strRef>
          </c:tx>
          <c:spPr>
            <a:ln w="28575" cap="rnd">
              <a:solidFill>
                <a:schemeClr val="accent3"/>
              </a:solidFill>
              <a:round/>
            </a:ln>
            <a:effectLst/>
          </c:spPr>
          <c:marker>
            <c:symbol val="none"/>
          </c:marker>
          <c:cat>
            <c:multiLvlStrRef>
              <c:f>pivot_seasonality!$A$5:$A$29</c:f>
              <c:multiLvlStrCache>
                <c:ptCount val="12"/>
                <c:lvl>
                  <c:pt idx="0">
                    <c:v>January  </c:v>
                  </c:pt>
                  <c:pt idx="1">
                    <c:v>February </c:v>
                  </c:pt>
                  <c:pt idx="2">
                    <c:v>March    </c:v>
                  </c:pt>
                  <c:pt idx="3">
                    <c:v>April    </c:v>
                  </c:pt>
                  <c:pt idx="4">
                    <c:v>May      </c:v>
                  </c:pt>
                  <c:pt idx="5">
                    <c:v>June     </c:v>
                  </c:pt>
                  <c:pt idx="6">
                    <c:v>July     </c:v>
                  </c:pt>
                  <c:pt idx="7">
                    <c:v>August   </c:v>
                  </c:pt>
                  <c:pt idx="8">
                    <c:v>September</c:v>
                  </c:pt>
                  <c:pt idx="9">
                    <c:v>October  </c:v>
                  </c:pt>
                  <c:pt idx="10">
                    <c:v>November </c:v>
                  </c:pt>
                  <c:pt idx="11">
                    <c:v>December </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pivot_seasonality!$D$5:$D$29</c:f>
              <c:numCache>
                <c:formatCode>General</c:formatCode>
                <c:ptCount val="12"/>
                <c:pt idx="0">
                  <c:v>618921</c:v>
                </c:pt>
                <c:pt idx="1">
                  <c:v>579620</c:v>
                </c:pt>
                <c:pt idx="2">
                  <c:v>652146</c:v>
                </c:pt>
                <c:pt idx="3">
                  <c:v>684517</c:v>
                </c:pt>
                <c:pt idx="4">
                  <c:v>661894</c:v>
                </c:pt>
                <c:pt idx="5">
                  <c:v>622529</c:v>
                </c:pt>
                <c:pt idx="6">
                  <c:v>622133</c:v>
                </c:pt>
                <c:pt idx="7">
                  <c:v>571209</c:v>
                </c:pt>
                <c:pt idx="8">
                  <c:v>537799</c:v>
                </c:pt>
                <c:pt idx="9">
                  <c:v>581940</c:v>
                </c:pt>
                <c:pt idx="10">
                  <c:v>565782</c:v>
                </c:pt>
                <c:pt idx="11">
                  <c:v>581898</c:v>
                </c:pt>
              </c:numCache>
            </c:numRef>
          </c:val>
          <c:smooth val="0"/>
          <c:extLst>
            <c:ext xmlns:c16="http://schemas.microsoft.com/office/drawing/2014/chart" uri="{C3380CC4-5D6E-409C-BE32-E72D297353CC}">
              <c16:uniqueId val="{00000002-577B-794A-B311-D162D5AFE95F}"/>
            </c:ext>
          </c:extLst>
        </c:ser>
        <c:dLbls>
          <c:showLegendKey val="0"/>
          <c:showVal val="0"/>
          <c:showCatName val="0"/>
          <c:showSerName val="0"/>
          <c:showPercent val="0"/>
          <c:showBubbleSize val="0"/>
        </c:dLbls>
        <c:smooth val="0"/>
        <c:axId val="849797295"/>
        <c:axId val="849866607"/>
      </c:lineChart>
      <c:catAx>
        <c:axId val="84979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66607"/>
        <c:crosses val="autoZero"/>
        <c:auto val="1"/>
        <c:lblAlgn val="ctr"/>
        <c:lblOffset val="100"/>
        <c:noMultiLvlLbl val="0"/>
      </c:catAx>
      <c:valAx>
        <c:axId val="84986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79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[travel_project.xlsx]pivot_attributes!PivotTable1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t>
            </a:r>
            <a:r>
              <a:rPr lang="en-US" baseline="0"/>
              <a:t>vg Occupancy by Room Type and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68800053839423"/>
          <c:y val="0.15319444444444447"/>
          <c:w val="0.54803059873926019"/>
          <c:h val="0.72125801983085447"/>
        </c:manualLayout>
      </c:layout>
      <c:barChart>
        <c:barDir val="bar"/>
        <c:grouping val="clustered"/>
        <c:varyColors val="0"/>
        <c:ser>
          <c:idx val="0"/>
          <c:order val="0"/>
          <c:tx>
            <c:strRef>
              <c:f>pivot_attributes!$B$4:$B$5</c:f>
              <c:strCache>
                <c:ptCount val="1"/>
                <c:pt idx="0">
                  <c:v>New Orleans</c:v>
                </c:pt>
              </c:strCache>
            </c:strRef>
          </c:tx>
          <c:spPr>
            <a:solidFill>
              <a:schemeClr val="accent1"/>
            </a:solidFill>
            <a:ln>
              <a:noFill/>
            </a:ln>
            <a:effectLst/>
          </c:spPr>
          <c:invertIfNegative val="0"/>
          <c:cat>
            <c:strRef>
              <c:f>pivot_attributes!$A$6:$A$10</c:f>
              <c:strCache>
                <c:ptCount val="4"/>
                <c:pt idx="0">
                  <c:v>Entire home/apt</c:v>
                </c:pt>
                <c:pt idx="1">
                  <c:v>Hotel room</c:v>
                </c:pt>
                <c:pt idx="2">
                  <c:v>Private room</c:v>
                </c:pt>
                <c:pt idx="3">
                  <c:v>Shared room</c:v>
                </c:pt>
              </c:strCache>
            </c:strRef>
          </c:cat>
          <c:val>
            <c:numRef>
              <c:f>pivot_attributes!$B$6:$B$10</c:f>
              <c:numCache>
                <c:formatCode>General</c:formatCode>
                <c:ptCount val="4"/>
                <c:pt idx="0">
                  <c:v>0.32079374999999999</c:v>
                </c:pt>
                <c:pt idx="1">
                  <c:v>0.36905000000000004</c:v>
                </c:pt>
                <c:pt idx="2">
                  <c:v>0.29517499999999997</c:v>
                </c:pt>
              </c:numCache>
            </c:numRef>
          </c:val>
          <c:extLst>
            <c:ext xmlns:c16="http://schemas.microsoft.com/office/drawing/2014/chart" uri="{C3380CC4-5D6E-409C-BE32-E72D297353CC}">
              <c16:uniqueId val="{00000000-A988-8247-8E0F-06CC08F3F66E}"/>
            </c:ext>
          </c:extLst>
        </c:ser>
        <c:ser>
          <c:idx val="1"/>
          <c:order val="1"/>
          <c:tx>
            <c:strRef>
              <c:f>pivot_attributes!$C$4:$C$5</c:f>
              <c:strCache>
                <c:ptCount val="1"/>
                <c:pt idx="0">
                  <c:v>NYC</c:v>
                </c:pt>
              </c:strCache>
            </c:strRef>
          </c:tx>
          <c:spPr>
            <a:solidFill>
              <a:schemeClr val="accent2"/>
            </a:solidFill>
            <a:ln>
              <a:noFill/>
            </a:ln>
            <a:effectLst/>
          </c:spPr>
          <c:invertIfNegative val="0"/>
          <c:cat>
            <c:strRef>
              <c:f>pivot_attributes!$A$6:$A$10</c:f>
              <c:strCache>
                <c:ptCount val="4"/>
                <c:pt idx="0">
                  <c:v>Entire home/apt</c:v>
                </c:pt>
                <c:pt idx="1">
                  <c:v>Hotel room</c:v>
                </c:pt>
                <c:pt idx="2">
                  <c:v>Private room</c:v>
                </c:pt>
                <c:pt idx="3">
                  <c:v>Shared room</c:v>
                </c:pt>
              </c:strCache>
            </c:strRef>
          </c:cat>
          <c:val>
            <c:numRef>
              <c:f>pivot_attributes!$C$6:$C$10</c:f>
              <c:numCache>
                <c:formatCode>General</c:formatCode>
                <c:ptCount val="4"/>
                <c:pt idx="0">
                  <c:v>0.37886428571428571</c:v>
                </c:pt>
                <c:pt idx="2">
                  <c:v>0.40925833333333328</c:v>
                </c:pt>
                <c:pt idx="3">
                  <c:v>0.44159999999999999</c:v>
                </c:pt>
              </c:numCache>
            </c:numRef>
          </c:val>
          <c:extLst>
            <c:ext xmlns:c16="http://schemas.microsoft.com/office/drawing/2014/chart" uri="{C3380CC4-5D6E-409C-BE32-E72D297353CC}">
              <c16:uniqueId val="{0000000C-A988-8247-8E0F-06CC08F3F66E}"/>
            </c:ext>
          </c:extLst>
        </c:ser>
        <c:dLbls>
          <c:showLegendKey val="0"/>
          <c:showVal val="0"/>
          <c:showCatName val="0"/>
          <c:showSerName val="0"/>
          <c:showPercent val="0"/>
          <c:showBubbleSize val="0"/>
        </c:dLbls>
        <c:gapWidth val="219"/>
        <c:axId val="847889728"/>
        <c:axId val="847915776"/>
      </c:barChart>
      <c:catAx>
        <c:axId val="84788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915776"/>
        <c:crosses val="autoZero"/>
        <c:auto val="1"/>
        <c:lblAlgn val="ctr"/>
        <c:lblOffset val="100"/>
        <c:noMultiLvlLbl val="0"/>
      </c:catAx>
      <c:valAx>
        <c:axId val="84791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8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[travel_project.xlsx]pivot_market_entry!PivotTable2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pivot_market_entry!$B$3</c:f>
              <c:strCache>
                <c:ptCount val="1"/>
                <c:pt idx="0">
                  <c:v>Avg Occupancy</c:v>
                </c:pt>
              </c:strCache>
            </c:strRef>
          </c:tx>
          <c:spPr>
            <a:solidFill>
              <a:schemeClr val="accent1"/>
            </a:solidFill>
            <a:ln>
              <a:noFill/>
            </a:ln>
            <a:effectLst/>
          </c:spPr>
          <c:invertIfNegative val="0"/>
          <c:cat>
            <c:multiLvlStrRef>
              <c:f>pivot_market_entry!$A$4:$A$136</c:f>
              <c:multiLvlStrCache>
                <c:ptCount val="129"/>
                <c:lvl>
                  <c:pt idx="0">
                    <c:v>Álvaro Obregón</c:v>
                  </c:pt>
                  <c:pt idx="1">
                    <c:v>Azcapotzalco</c:v>
                  </c:pt>
                  <c:pt idx="2">
                    <c:v>Benito Juárez</c:v>
                  </c:pt>
                  <c:pt idx="3">
                    <c:v>Coyoacán</c:v>
                  </c:pt>
                  <c:pt idx="4">
                    <c:v>Cuajimalpa de Morelos</c:v>
                  </c:pt>
                  <c:pt idx="5">
                    <c:v>Cuauhtémoc</c:v>
                  </c:pt>
                  <c:pt idx="6">
                    <c:v>Gustavo A. Madero</c:v>
                  </c:pt>
                  <c:pt idx="7">
                    <c:v>Iztacalco</c:v>
                  </c:pt>
                  <c:pt idx="8">
                    <c:v>Iztapalapa</c:v>
                  </c:pt>
                  <c:pt idx="9">
                    <c:v>La Magdalena Contreras</c:v>
                  </c:pt>
                  <c:pt idx="10">
                    <c:v>Miguel Hidalgo</c:v>
                  </c:pt>
                  <c:pt idx="11">
                    <c:v>Milpa Alta</c:v>
                  </c:pt>
                  <c:pt idx="12">
                    <c:v>Tláhuac</c:v>
                  </c:pt>
                  <c:pt idx="13">
                    <c:v>Tlalpan</c:v>
                  </c:pt>
                  <c:pt idx="14">
                    <c:v>Venustiano Carranza</c:v>
                  </c:pt>
                  <c:pt idx="15">
                    <c:v>Xochimilco</c:v>
                  </c:pt>
                  <c:pt idx="16">
                    <c:v>Algiers Point</c:v>
                  </c:pt>
                  <c:pt idx="17">
                    <c:v>Audubon</c:v>
                  </c:pt>
                  <c:pt idx="18">
                    <c:v>Bayou St. John</c:v>
                  </c:pt>
                  <c:pt idx="19">
                    <c:v>Broadmoor</c:v>
                  </c:pt>
                  <c:pt idx="20">
                    <c:v>Bywater</c:v>
                  </c:pt>
                  <c:pt idx="21">
                    <c:v>Central Business District</c:v>
                  </c:pt>
                  <c:pt idx="22">
                    <c:v>Central City</c:v>
                  </c:pt>
                  <c:pt idx="23">
                    <c:v>City Park</c:v>
                  </c:pt>
                  <c:pt idx="24">
                    <c:v>Dillard</c:v>
                  </c:pt>
                  <c:pt idx="25">
                    <c:v>East Carrollton</c:v>
                  </c:pt>
                  <c:pt idx="26">
                    <c:v>East Riverside</c:v>
                  </c:pt>
                  <c:pt idx="27">
                    <c:v>Fairgrounds</c:v>
                  </c:pt>
                  <c:pt idx="28">
                    <c:v>French Quarter</c:v>
                  </c:pt>
                  <c:pt idx="29">
                    <c:v>Freret</c:v>
                  </c:pt>
                  <c:pt idx="30">
                    <c:v>Gentilly Terrace</c:v>
                  </c:pt>
                  <c:pt idx="31">
                    <c:v>Holy Cross</c:v>
                  </c:pt>
                  <c:pt idx="32">
                    <c:v>Irish Channel</c:v>
                  </c:pt>
                  <c:pt idx="33">
                    <c:v>Lake Catherine</c:v>
                  </c:pt>
                  <c:pt idx="34">
                    <c:v>Lakeview</c:v>
                  </c:pt>
                  <c:pt idx="35">
                    <c:v>Leonidas</c:v>
                  </c:pt>
                  <c:pt idx="36">
                    <c:v>Lower Garden District</c:v>
                  </c:pt>
                  <c:pt idx="37">
                    <c:v>Lower Ninth Ward</c:v>
                  </c:pt>
                  <c:pt idx="38">
                    <c:v>Marigny</c:v>
                  </c:pt>
                  <c:pt idx="39">
                    <c:v>Marlyville - Fontainbleau</c:v>
                  </c:pt>
                  <c:pt idx="40">
                    <c:v>Mcdonogh</c:v>
                  </c:pt>
                  <c:pt idx="41">
                    <c:v>Mid-City</c:v>
                  </c:pt>
                  <c:pt idx="42">
                    <c:v>Milan</c:v>
                  </c:pt>
                  <c:pt idx="43">
                    <c:v>Milneburg</c:v>
                  </c:pt>
                  <c:pt idx="44">
                    <c:v>Navarre</c:v>
                  </c:pt>
                  <c:pt idx="45">
                    <c:v>Seventh Ward</c:v>
                  </c:pt>
                  <c:pt idx="46">
                    <c:v>St. Claude</c:v>
                  </c:pt>
                  <c:pt idx="47">
                    <c:v>St. Roch</c:v>
                  </c:pt>
                  <c:pt idx="48">
                    <c:v>St. Thomas Dev</c:v>
                  </c:pt>
                  <c:pt idx="49">
                    <c:v>Touro</c:v>
                  </c:pt>
                  <c:pt idx="50">
                    <c:v>Treme - Lafitte</c:v>
                  </c:pt>
                  <c:pt idx="51">
                    <c:v>Tulane - Gravier</c:v>
                  </c:pt>
                  <c:pt idx="52">
                    <c:v>Uptown</c:v>
                  </c:pt>
                  <c:pt idx="53">
                    <c:v>West Riverside</c:v>
                  </c:pt>
                  <c:pt idx="54">
                    <c:v>Arverne</c:v>
                  </c:pt>
                  <c:pt idx="55">
                    <c:v>Astoria</c:v>
                  </c:pt>
                  <c:pt idx="56">
                    <c:v>Bedford-Stuyvesant</c:v>
                  </c:pt>
                  <c:pt idx="57">
                    <c:v>Boerum Hill</c:v>
                  </c:pt>
                  <c:pt idx="58">
                    <c:v>Brownsville</c:v>
                  </c:pt>
                  <c:pt idx="59">
                    <c:v>Bushwick</c:v>
                  </c:pt>
                  <c:pt idx="60">
                    <c:v>Cambria Heights</c:v>
                  </c:pt>
                  <c:pt idx="61">
                    <c:v>Canarsie</c:v>
                  </c:pt>
                  <c:pt idx="62">
                    <c:v>Carroll Gardens</c:v>
                  </c:pt>
                  <c:pt idx="63">
                    <c:v>Chelsea</c:v>
                  </c:pt>
                  <c:pt idx="64">
                    <c:v>Chinatown</c:v>
                  </c:pt>
                  <c:pt idx="65">
                    <c:v>Clinton Hill</c:v>
                  </c:pt>
                  <c:pt idx="66">
                    <c:v>College Point</c:v>
                  </c:pt>
                  <c:pt idx="67">
                    <c:v>Concourse</c:v>
                  </c:pt>
                  <c:pt idx="68">
                    <c:v>Corona</c:v>
                  </c:pt>
                  <c:pt idx="69">
                    <c:v>Crown Heights</c:v>
                  </c:pt>
                  <c:pt idx="70">
                    <c:v>Cypress Hills</c:v>
                  </c:pt>
                  <c:pt idx="71">
                    <c:v>Ditmars Steinway</c:v>
                  </c:pt>
                  <c:pt idx="72">
                    <c:v>Downtown Brooklyn</c:v>
                  </c:pt>
                  <c:pt idx="73">
                    <c:v>East Elmhurst</c:v>
                  </c:pt>
                  <c:pt idx="74">
                    <c:v>East Flatbush</c:v>
                  </c:pt>
                  <c:pt idx="75">
                    <c:v>East Harlem</c:v>
                  </c:pt>
                  <c:pt idx="76">
                    <c:v>East New York</c:v>
                  </c:pt>
                  <c:pt idx="77">
                    <c:v>East Village</c:v>
                  </c:pt>
                  <c:pt idx="78">
                    <c:v>Elmhurst</c:v>
                  </c:pt>
                  <c:pt idx="79">
                    <c:v>Financial District</c:v>
                  </c:pt>
                  <c:pt idx="80">
                    <c:v>Flatbush</c:v>
                  </c:pt>
                  <c:pt idx="81">
                    <c:v>Flatiron District</c:v>
                  </c:pt>
                  <c:pt idx="82">
                    <c:v>Flatlands</c:v>
                  </c:pt>
                  <c:pt idx="83">
                    <c:v>Flushing</c:v>
                  </c:pt>
                  <c:pt idx="84">
                    <c:v>Fort Greene</c:v>
                  </c:pt>
                  <c:pt idx="85">
                    <c:v>Fort Hamilton</c:v>
                  </c:pt>
                  <c:pt idx="86">
                    <c:v>Fresh Meadows</c:v>
                  </c:pt>
                  <c:pt idx="87">
                    <c:v>Gowanus</c:v>
                  </c:pt>
                  <c:pt idx="88">
                    <c:v>Gramercy</c:v>
                  </c:pt>
                  <c:pt idx="89">
                    <c:v>Greenpoint</c:v>
                  </c:pt>
                  <c:pt idx="90">
                    <c:v>Greenwich Village</c:v>
                  </c:pt>
                  <c:pt idx="91">
                    <c:v>Harlem</c:v>
                  </c:pt>
                  <c:pt idx="92">
                    <c:v>Hell's Kitchen</c:v>
                  </c:pt>
                  <c:pt idx="93">
                    <c:v>Jackson Heights</c:v>
                  </c:pt>
                  <c:pt idx="94">
                    <c:v>Jamaica</c:v>
                  </c:pt>
                  <c:pt idx="95">
                    <c:v>Kips Bay</c:v>
                  </c:pt>
                  <c:pt idx="96">
                    <c:v>Laurelton</c:v>
                  </c:pt>
                  <c:pt idx="97">
                    <c:v>Little Italy</c:v>
                  </c:pt>
                  <c:pt idx="98">
                    <c:v>Long Island City</c:v>
                  </c:pt>
                  <c:pt idx="99">
                    <c:v>Lower East Side</c:v>
                  </c:pt>
                  <c:pt idx="100">
                    <c:v>Maspeth</c:v>
                  </c:pt>
                  <c:pt idx="101">
                    <c:v>Midtown</c:v>
                  </c:pt>
                  <c:pt idx="102">
                    <c:v>Mott Haven</c:v>
                  </c:pt>
                  <c:pt idx="103">
                    <c:v>Murray Hill</c:v>
                  </c:pt>
                  <c:pt idx="104">
                    <c:v>Nolita</c:v>
                  </c:pt>
                  <c:pt idx="105">
                    <c:v>Park Slope</c:v>
                  </c:pt>
                  <c:pt idx="106">
                    <c:v>Port Morris</c:v>
                  </c:pt>
                  <c:pt idx="107">
                    <c:v>Prospect Heights</c:v>
                  </c:pt>
                  <c:pt idx="108">
                    <c:v>Prospect-Lefferts Gardens</c:v>
                  </c:pt>
                  <c:pt idx="109">
                    <c:v>Queens Village</c:v>
                  </c:pt>
                  <c:pt idx="110">
                    <c:v>Richmond Hill</c:v>
                  </c:pt>
                  <c:pt idx="111">
                    <c:v>Ridgewood</c:v>
                  </c:pt>
                  <c:pt idx="112">
                    <c:v>Rosedale</c:v>
                  </c:pt>
                  <c:pt idx="113">
                    <c:v>Sheepshead Bay</c:v>
                  </c:pt>
                  <c:pt idx="114">
                    <c:v>SoHo</c:v>
                  </c:pt>
                  <c:pt idx="115">
                    <c:v>South Ozone Park</c:v>
                  </c:pt>
                  <c:pt idx="116">
                    <c:v>Springfield Gardens</c:v>
                  </c:pt>
                  <c:pt idx="117">
                    <c:v>St. Albans</c:v>
                  </c:pt>
                  <c:pt idx="118">
                    <c:v>Sunnyside</c:v>
                  </c:pt>
                  <c:pt idx="119">
                    <c:v>Sunset Park</c:v>
                  </c:pt>
                  <c:pt idx="120">
                    <c:v>Theater District</c:v>
                  </c:pt>
                  <c:pt idx="121">
                    <c:v>Tribeca</c:v>
                  </c:pt>
                  <c:pt idx="122">
                    <c:v>Upper East Side</c:v>
                  </c:pt>
                  <c:pt idx="123">
                    <c:v>Upper West Side</c:v>
                  </c:pt>
                  <c:pt idx="124">
                    <c:v>Washington Heights</c:v>
                  </c:pt>
                  <c:pt idx="125">
                    <c:v>West Village</c:v>
                  </c:pt>
                  <c:pt idx="126">
                    <c:v>Williamsburg</c:v>
                  </c:pt>
                  <c:pt idx="127">
                    <c:v>Woodhaven</c:v>
                  </c:pt>
                  <c:pt idx="128">
                    <c:v>Woodside</c:v>
                  </c:pt>
                </c:lvl>
                <c:lvl>
                  <c:pt idx="0">
                    <c:v>Mexico City</c:v>
                  </c:pt>
                  <c:pt idx="16">
                    <c:v>New Orleans</c:v>
                  </c:pt>
                  <c:pt idx="54">
                    <c:v>NYC</c:v>
                  </c:pt>
                </c:lvl>
              </c:multiLvlStrCache>
            </c:multiLvlStrRef>
          </c:cat>
          <c:val>
            <c:numRef>
              <c:f>pivot_market_entry!$B$4:$B$136</c:f>
              <c:numCache>
                <c:formatCode>0.0%</c:formatCode>
                <c:ptCount val="129"/>
                <c:pt idx="0">
                  <c:v>0.25280000000000002</c:v>
                </c:pt>
                <c:pt idx="1">
                  <c:v>0.22789999999999999</c:v>
                </c:pt>
                <c:pt idx="2">
                  <c:v>0.3115</c:v>
                </c:pt>
                <c:pt idx="3">
                  <c:v>0.30630000000000002</c:v>
                </c:pt>
                <c:pt idx="4">
                  <c:v>0.2445</c:v>
                </c:pt>
                <c:pt idx="5">
                  <c:v>0.31459999999999999</c:v>
                </c:pt>
                <c:pt idx="6">
                  <c:v>0.25509999999999999</c:v>
                </c:pt>
                <c:pt idx="7">
                  <c:v>0.32369999999999999</c:v>
                </c:pt>
                <c:pt idx="8">
                  <c:v>0.18920000000000001</c:v>
                </c:pt>
                <c:pt idx="9">
                  <c:v>0.2787</c:v>
                </c:pt>
                <c:pt idx="10">
                  <c:v>0.2989</c:v>
                </c:pt>
                <c:pt idx="11">
                  <c:v>8.1699999999999995E-2</c:v>
                </c:pt>
                <c:pt idx="12">
                  <c:v>0.1726</c:v>
                </c:pt>
                <c:pt idx="13">
                  <c:v>0.26629999999999998</c:v>
                </c:pt>
                <c:pt idx="14">
                  <c:v>0.31380000000000002</c:v>
                </c:pt>
                <c:pt idx="15">
                  <c:v>0.17150000000000001</c:v>
                </c:pt>
                <c:pt idx="16">
                  <c:v>0.44409999999999999</c:v>
                </c:pt>
                <c:pt idx="17">
                  <c:v>0.52559999999999996</c:v>
                </c:pt>
                <c:pt idx="18">
                  <c:v>0.4723</c:v>
                </c:pt>
                <c:pt idx="19">
                  <c:v>0.49530000000000002</c:v>
                </c:pt>
                <c:pt idx="20">
                  <c:v>0.41470000000000001</c:v>
                </c:pt>
                <c:pt idx="21">
                  <c:v>0.22889999999999999</c:v>
                </c:pt>
                <c:pt idx="22">
                  <c:v>0.34029999999999999</c:v>
                </c:pt>
                <c:pt idx="23">
                  <c:v>0.55410000000000004</c:v>
                </c:pt>
                <c:pt idx="24">
                  <c:v>0.49590000000000001</c:v>
                </c:pt>
                <c:pt idx="25">
                  <c:v>0.49480000000000002</c:v>
                </c:pt>
                <c:pt idx="26">
                  <c:v>0.43719999999999998</c:v>
                </c:pt>
                <c:pt idx="27">
                  <c:v>0.50670000000000004</c:v>
                </c:pt>
                <c:pt idx="28">
                  <c:v>0.28539999999999999</c:v>
                </c:pt>
                <c:pt idx="29">
                  <c:v>0.3881</c:v>
                </c:pt>
                <c:pt idx="30">
                  <c:v>0.46079999999999999</c:v>
                </c:pt>
                <c:pt idx="31">
                  <c:v>0.42049999999999998</c:v>
                </c:pt>
                <c:pt idx="32">
                  <c:v>0.50349999999999995</c:v>
                </c:pt>
                <c:pt idx="33">
                  <c:v>0.25119999999999998</c:v>
                </c:pt>
                <c:pt idx="34">
                  <c:v>0.3624</c:v>
                </c:pt>
                <c:pt idx="35">
                  <c:v>0.42659999999999998</c:v>
                </c:pt>
                <c:pt idx="36">
                  <c:v>0.36849999999999999</c:v>
                </c:pt>
                <c:pt idx="37">
                  <c:v>0.48110000000000003</c:v>
                </c:pt>
                <c:pt idx="38">
                  <c:v>0.3775</c:v>
                </c:pt>
                <c:pt idx="39">
                  <c:v>0.42</c:v>
                </c:pt>
                <c:pt idx="40">
                  <c:v>0.48130000000000001</c:v>
                </c:pt>
                <c:pt idx="41">
                  <c:v>0.30230000000000001</c:v>
                </c:pt>
                <c:pt idx="42">
                  <c:v>0.36549999999999999</c:v>
                </c:pt>
                <c:pt idx="43">
                  <c:v>0.41439999999999999</c:v>
                </c:pt>
                <c:pt idx="44">
                  <c:v>0.46500000000000002</c:v>
                </c:pt>
                <c:pt idx="45">
                  <c:v>0.4335</c:v>
                </c:pt>
                <c:pt idx="46">
                  <c:v>0.2707</c:v>
                </c:pt>
                <c:pt idx="47">
                  <c:v>0.37109999999999999</c:v>
                </c:pt>
                <c:pt idx="48">
                  <c:v>0.29899999999999999</c:v>
                </c:pt>
                <c:pt idx="49">
                  <c:v>0.37069999999999997</c:v>
                </c:pt>
                <c:pt idx="50">
                  <c:v>0.4642</c:v>
                </c:pt>
                <c:pt idx="51">
                  <c:v>0.25530000000000003</c:v>
                </c:pt>
                <c:pt idx="52">
                  <c:v>0.46489999999999998</c:v>
                </c:pt>
                <c:pt idx="53">
                  <c:v>0.44209999999999999</c:v>
                </c:pt>
                <c:pt idx="54">
                  <c:v>0.48470000000000002</c:v>
                </c:pt>
                <c:pt idx="55">
                  <c:v>0.39040000000000002</c:v>
                </c:pt>
                <c:pt idx="56">
                  <c:v>0.46860000000000002</c:v>
                </c:pt>
                <c:pt idx="57">
                  <c:v>0.52159999999999995</c:v>
                </c:pt>
                <c:pt idx="58">
                  <c:v>0.38929999999999998</c:v>
                </c:pt>
                <c:pt idx="59">
                  <c:v>0.42880000000000001</c:v>
                </c:pt>
                <c:pt idx="60">
                  <c:v>0.28520000000000001</c:v>
                </c:pt>
                <c:pt idx="61">
                  <c:v>0.27829999999999999</c:v>
                </c:pt>
                <c:pt idx="62">
                  <c:v>0.55889999999999995</c:v>
                </c:pt>
                <c:pt idx="63">
                  <c:v>0.41339999999999999</c:v>
                </c:pt>
                <c:pt idx="64">
                  <c:v>0.44879999999999998</c:v>
                </c:pt>
                <c:pt idx="65">
                  <c:v>0.49030000000000001</c:v>
                </c:pt>
                <c:pt idx="66">
                  <c:v>0.56859999999999999</c:v>
                </c:pt>
                <c:pt idx="67">
                  <c:v>0.47549999999999998</c:v>
                </c:pt>
                <c:pt idx="68">
                  <c:v>0.28889999999999999</c:v>
                </c:pt>
                <c:pt idx="69">
                  <c:v>0.45669999999999999</c:v>
                </c:pt>
                <c:pt idx="70">
                  <c:v>0.41639999999999999</c:v>
                </c:pt>
                <c:pt idx="71">
                  <c:v>0.3916</c:v>
                </c:pt>
                <c:pt idx="72">
                  <c:v>0.2422</c:v>
                </c:pt>
                <c:pt idx="73">
                  <c:v>0.37409999999999999</c:v>
                </c:pt>
                <c:pt idx="74">
                  <c:v>0.376</c:v>
                </c:pt>
                <c:pt idx="75">
                  <c:v>0.4224</c:v>
                </c:pt>
                <c:pt idx="76">
                  <c:v>0.3947</c:v>
                </c:pt>
                <c:pt idx="77">
                  <c:v>0.56679999999999997</c:v>
                </c:pt>
                <c:pt idx="78">
                  <c:v>0.38379999999999997</c:v>
                </c:pt>
                <c:pt idx="79">
                  <c:v>0.40400000000000003</c:v>
                </c:pt>
                <c:pt idx="80">
                  <c:v>0.41649999999999998</c:v>
                </c:pt>
                <c:pt idx="81">
                  <c:v>9.5899999999999999E-2</c:v>
                </c:pt>
                <c:pt idx="82">
                  <c:v>0.2331</c:v>
                </c:pt>
                <c:pt idx="83">
                  <c:v>0.40910000000000002</c:v>
                </c:pt>
                <c:pt idx="84">
                  <c:v>0.60270000000000001</c:v>
                </c:pt>
                <c:pt idx="85">
                  <c:v>0.21510000000000001</c:v>
                </c:pt>
                <c:pt idx="86">
                  <c:v>0.28770000000000001</c:v>
                </c:pt>
                <c:pt idx="87">
                  <c:v>0.61150000000000004</c:v>
                </c:pt>
                <c:pt idx="88">
                  <c:v>0.68110000000000004</c:v>
                </c:pt>
                <c:pt idx="89">
                  <c:v>0.49199999999999999</c:v>
                </c:pt>
                <c:pt idx="90">
                  <c:v>0.26800000000000002</c:v>
                </c:pt>
                <c:pt idx="91">
                  <c:v>0.4249</c:v>
                </c:pt>
                <c:pt idx="92">
                  <c:v>0.4022</c:v>
                </c:pt>
                <c:pt idx="93">
                  <c:v>0.32700000000000001</c:v>
                </c:pt>
                <c:pt idx="94">
                  <c:v>0.33679999999999999</c:v>
                </c:pt>
                <c:pt idx="95">
                  <c:v>0.47149999999999997</c:v>
                </c:pt>
                <c:pt idx="96">
                  <c:v>0.4224</c:v>
                </c:pt>
                <c:pt idx="97">
                  <c:v>0.52380000000000004</c:v>
                </c:pt>
                <c:pt idx="98">
                  <c:v>0.42820000000000003</c:v>
                </c:pt>
                <c:pt idx="99">
                  <c:v>0.43120000000000003</c:v>
                </c:pt>
                <c:pt idx="100">
                  <c:v>0.4541</c:v>
                </c:pt>
                <c:pt idx="101">
                  <c:v>0.38240000000000002</c:v>
                </c:pt>
                <c:pt idx="102">
                  <c:v>0.3039</c:v>
                </c:pt>
                <c:pt idx="103">
                  <c:v>0.34899999999999998</c:v>
                </c:pt>
                <c:pt idx="104">
                  <c:v>0.56689999999999996</c:v>
                </c:pt>
                <c:pt idx="105">
                  <c:v>0.51749999999999996</c:v>
                </c:pt>
                <c:pt idx="106">
                  <c:v>6.0900000000000003E-2</c:v>
                </c:pt>
                <c:pt idx="107">
                  <c:v>0.57010000000000005</c:v>
                </c:pt>
                <c:pt idx="108">
                  <c:v>0.4834</c:v>
                </c:pt>
                <c:pt idx="109">
                  <c:v>0.15870000000000001</c:v>
                </c:pt>
                <c:pt idx="110">
                  <c:v>0.41820000000000002</c:v>
                </c:pt>
                <c:pt idx="111">
                  <c:v>0.47560000000000002</c:v>
                </c:pt>
                <c:pt idx="112">
                  <c:v>0.2888</c:v>
                </c:pt>
                <c:pt idx="113">
                  <c:v>0.30380000000000001</c:v>
                </c:pt>
                <c:pt idx="114">
                  <c:v>0.5131</c:v>
                </c:pt>
                <c:pt idx="115">
                  <c:v>0.2155</c:v>
                </c:pt>
                <c:pt idx="116">
                  <c:v>0.28799999999999998</c:v>
                </c:pt>
                <c:pt idx="117">
                  <c:v>0.4133</c:v>
                </c:pt>
                <c:pt idx="118">
                  <c:v>0.53669999999999995</c:v>
                </c:pt>
                <c:pt idx="119">
                  <c:v>0.46939999999999998</c:v>
                </c:pt>
                <c:pt idx="120">
                  <c:v>0.34210000000000002</c:v>
                </c:pt>
                <c:pt idx="121">
                  <c:v>0.5151</c:v>
                </c:pt>
                <c:pt idx="122">
                  <c:v>0.53849999999999998</c:v>
                </c:pt>
                <c:pt idx="123">
                  <c:v>0.46560000000000001</c:v>
                </c:pt>
                <c:pt idx="124">
                  <c:v>0.45469999999999999</c:v>
                </c:pt>
                <c:pt idx="125">
                  <c:v>0.64610000000000001</c:v>
                </c:pt>
                <c:pt idx="126">
                  <c:v>0.48449999999999999</c:v>
                </c:pt>
                <c:pt idx="127">
                  <c:v>0.39129999999999998</c:v>
                </c:pt>
                <c:pt idx="128">
                  <c:v>0.36730000000000002</c:v>
                </c:pt>
              </c:numCache>
            </c:numRef>
          </c:val>
          <c:extLst>
            <c:ext xmlns:c16="http://schemas.microsoft.com/office/drawing/2014/chart" uri="{C3380CC4-5D6E-409C-BE32-E72D297353CC}">
              <c16:uniqueId val="{00000000-B8DF-5B45-A719-927169A8454A}"/>
            </c:ext>
          </c:extLst>
        </c:ser>
        <c:ser>
          <c:idx val="1"/>
          <c:order val="1"/>
          <c:tx>
            <c:strRef>
              <c:f>pivot_market_entry!$C$3</c:f>
              <c:strCache>
                <c:ptCount val="1"/>
                <c:pt idx="0">
                  <c:v>Price Volatility (CV)</c:v>
                </c:pt>
              </c:strCache>
            </c:strRef>
          </c:tx>
          <c:spPr>
            <a:solidFill>
              <a:schemeClr val="accent2"/>
            </a:solidFill>
            <a:ln>
              <a:noFill/>
            </a:ln>
            <a:effectLst/>
          </c:spPr>
          <c:invertIfNegative val="0"/>
          <c:cat>
            <c:multiLvlStrRef>
              <c:f>pivot_market_entry!$A$4:$A$136</c:f>
              <c:multiLvlStrCache>
                <c:ptCount val="129"/>
                <c:lvl>
                  <c:pt idx="0">
                    <c:v>Álvaro Obregón</c:v>
                  </c:pt>
                  <c:pt idx="1">
                    <c:v>Azcapotzalco</c:v>
                  </c:pt>
                  <c:pt idx="2">
                    <c:v>Benito Juárez</c:v>
                  </c:pt>
                  <c:pt idx="3">
                    <c:v>Coyoacán</c:v>
                  </c:pt>
                  <c:pt idx="4">
                    <c:v>Cuajimalpa de Morelos</c:v>
                  </c:pt>
                  <c:pt idx="5">
                    <c:v>Cuauhtémoc</c:v>
                  </c:pt>
                  <c:pt idx="6">
                    <c:v>Gustavo A. Madero</c:v>
                  </c:pt>
                  <c:pt idx="7">
                    <c:v>Iztacalco</c:v>
                  </c:pt>
                  <c:pt idx="8">
                    <c:v>Iztapalapa</c:v>
                  </c:pt>
                  <c:pt idx="9">
                    <c:v>La Magdalena Contreras</c:v>
                  </c:pt>
                  <c:pt idx="10">
                    <c:v>Miguel Hidalgo</c:v>
                  </c:pt>
                  <c:pt idx="11">
                    <c:v>Milpa Alta</c:v>
                  </c:pt>
                  <c:pt idx="12">
                    <c:v>Tláhuac</c:v>
                  </c:pt>
                  <c:pt idx="13">
                    <c:v>Tlalpan</c:v>
                  </c:pt>
                  <c:pt idx="14">
                    <c:v>Venustiano Carranza</c:v>
                  </c:pt>
                  <c:pt idx="15">
                    <c:v>Xochimilco</c:v>
                  </c:pt>
                  <c:pt idx="16">
                    <c:v>Algiers Point</c:v>
                  </c:pt>
                  <c:pt idx="17">
                    <c:v>Audubon</c:v>
                  </c:pt>
                  <c:pt idx="18">
                    <c:v>Bayou St. John</c:v>
                  </c:pt>
                  <c:pt idx="19">
                    <c:v>Broadmoor</c:v>
                  </c:pt>
                  <c:pt idx="20">
                    <c:v>Bywater</c:v>
                  </c:pt>
                  <c:pt idx="21">
                    <c:v>Central Business District</c:v>
                  </c:pt>
                  <c:pt idx="22">
                    <c:v>Central City</c:v>
                  </c:pt>
                  <c:pt idx="23">
                    <c:v>City Park</c:v>
                  </c:pt>
                  <c:pt idx="24">
                    <c:v>Dillard</c:v>
                  </c:pt>
                  <c:pt idx="25">
                    <c:v>East Carrollton</c:v>
                  </c:pt>
                  <c:pt idx="26">
                    <c:v>East Riverside</c:v>
                  </c:pt>
                  <c:pt idx="27">
                    <c:v>Fairgrounds</c:v>
                  </c:pt>
                  <c:pt idx="28">
                    <c:v>French Quarter</c:v>
                  </c:pt>
                  <c:pt idx="29">
                    <c:v>Freret</c:v>
                  </c:pt>
                  <c:pt idx="30">
                    <c:v>Gentilly Terrace</c:v>
                  </c:pt>
                  <c:pt idx="31">
                    <c:v>Holy Cross</c:v>
                  </c:pt>
                  <c:pt idx="32">
                    <c:v>Irish Channel</c:v>
                  </c:pt>
                  <c:pt idx="33">
                    <c:v>Lake Catherine</c:v>
                  </c:pt>
                  <c:pt idx="34">
                    <c:v>Lakeview</c:v>
                  </c:pt>
                  <c:pt idx="35">
                    <c:v>Leonidas</c:v>
                  </c:pt>
                  <c:pt idx="36">
                    <c:v>Lower Garden District</c:v>
                  </c:pt>
                  <c:pt idx="37">
                    <c:v>Lower Ninth Ward</c:v>
                  </c:pt>
                  <c:pt idx="38">
                    <c:v>Marigny</c:v>
                  </c:pt>
                  <c:pt idx="39">
                    <c:v>Marlyville - Fontainbleau</c:v>
                  </c:pt>
                  <c:pt idx="40">
                    <c:v>Mcdonogh</c:v>
                  </c:pt>
                  <c:pt idx="41">
                    <c:v>Mid-City</c:v>
                  </c:pt>
                  <c:pt idx="42">
                    <c:v>Milan</c:v>
                  </c:pt>
                  <c:pt idx="43">
                    <c:v>Milneburg</c:v>
                  </c:pt>
                  <c:pt idx="44">
                    <c:v>Navarre</c:v>
                  </c:pt>
                  <c:pt idx="45">
                    <c:v>Seventh Ward</c:v>
                  </c:pt>
                  <c:pt idx="46">
                    <c:v>St. Claude</c:v>
                  </c:pt>
                  <c:pt idx="47">
                    <c:v>St. Roch</c:v>
                  </c:pt>
                  <c:pt idx="48">
                    <c:v>St. Thomas Dev</c:v>
                  </c:pt>
                  <c:pt idx="49">
                    <c:v>Touro</c:v>
                  </c:pt>
                  <c:pt idx="50">
                    <c:v>Treme - Lafitte</c:v>
                  </c:pt>
                  <c:pt idx="51">
                    <c:v>Tulane - Gravier</c:v>
                  </c:pt>
                  <c:pt idx="52">
                    <c:v>Uptown</c:v>
                  </c:pt>
                  <c:pt idx="53">
                    <c:v>West Riverside</c:v>
                  </c:pt>
                  <c:pt idx="54">
                    <c:v>Arverne</c:v>
                  </c:pt>
                  <c:pt idx="55">
                    <c:v>Astoria</c:v>
                  </c:pt>
                  <c:pt idx="56">
                    <c:v>Bedford-Stuyvesant</c:v>
                  </c:pt>
                  <c:pt idx="57">
                    <c:v>Boerum Hill</c:v>
                  </c:pt>
                  <c:pt idx="58">
                    <c:v>Brownsville</c:v>
                  </c:pt>
                  <c:pt idx="59">
                    <c:v>Bushwick</c:v>
                  </c:pt>
                  <c:pt idx="60">
                    <c:v>Cambria Heights</c:v>
                  </c:pt>
                  <c:pt idx="61">
                    <c:v>Canarsie</c:v>
                  </c:pt>
                  <c:pt idx="62">
                    <c:v>Carroll Gardens</c:v>
                  </c:pt>
                  <c:pt idx="63">
                    <c:v>Chelsea</c:v>
                  </c:pt>
                  <c:pt idx="64">
                    <c:v>Chinatown</c:v>
                  </c:pt>
                  <c:pt idx="65">
                    <c:v>Clinton Hill</c:v>
                  </c:pt>
                  <c:pt idx="66">
                    <c:v>College Point</c:v>
                  </c:pt>
                  <c:pt idx="67">
                    <c:v>Concourse</c:v>
                  </c:pt>
                  <c:pt idx="68">
                    <c:v>Corona</c:v>
                  </c:pt>
                  <c:pt idx="69">
                    <c:v>Crown Heights</c:v>
                  </c:pt>
                  <c:pt idx="70">
                    <c:v>Cypress Hills</c:v>
                  </c:pt>
                  <c:pt idx="71">
                    <c:v>Ditmars Steinway</c:v>
                  </c:pt>
                  <c:pt idx="72">
                    <c:v>Downtown Brooklyn</c:v>
                  </c:pt>
                  <c:pt idx="73">
                    <c:v>East Elmhurst</c:v>
                  </c:pt>
                  <c:pt idx="74">
                    <c:v>East Flatbush</c:v>
                  </c:pt>
                  <c:pt idx="75">
                    <c:v>East Harlem</c:v>
                  </c:pt>
                  <c:pt idx="76">
                    <c:v>East New York</c:v>
                  </c:pt>
                  <c:pt idx="77">
                    <c:v>East Village</c:v>
                  </c:pt>
                  <c:pt idx="78">
                    <c:v>Elmhurst</c:v>
                  </c:pt>
                  <c:pt idx="79">
                    <c:v>Financial District</c:v>
                  </c:pt>
                  <c:pt idx="80">
                    <c:v>Flatbush</c:v>
                  </c:pt>
                  <c:pt idx="81">
                    <c:v>Flatiron District</c:v>
                  </c:pt>
                  <c:pt idx="82">
                    <c:v>Flatlands</c:v>
                  </c:pt>
                  <c:pt idx="83">
                    <c:v>Flushing</c:v>
                  </c:pt>
                  <c:pt idx="84">
                    <c:v>Fort Greene</c:v>
                  </c:pt>
                  <c:pt idx="85">
                    <c:v>Fort Hamilton</c:v>
                  </c:pt>
                  <c:pt idx="86">
                    <c:v>Fresh Meadows</c:v>
                  </c:pt>
                  <c:pt idx="87">
                    <c:v>Gowanus</c:v>
                  </c:pt>
                  <c:pt idx="88">
                    <c:v>Gramercy</c:v>
                  </c:pt>
                  <c:pt idx="89">
                    <c:v>Greenpoint</c:v>
                  </c:pt>
                  <c:pt idx="90">
                    <c:v>Greenwich Village</c:v>
                  </c:pt>
                  <c:pt idx="91">
                    <c:v>Harlem</c:v>
                  </c:pt>
                  <c:pt idx="92">
                    <c:v>Hell's Kitchen</c:v>
                  </c:pt>
                  <c:pt idx="93">
                    <c:v>Jackson Heights</c:v>
                  </c:pt>
                  <c:pt idx="94">
                    <c:v>Jamaica</c:v>
                  </c:pt>
                  <c:pt idx="95">
                    <c:v>Kips Bay</c:v>
                  </c:pt>
                  <c:pt idx="96">
                    <c:v>Laurelton</c:v>
                  </c:pt>
                  <c:pt idx="97">
                    <c:v>Little Italy</c:v>
                  </c:pt>
                  <c:pt idx="98">
                    <c:v>Long Island City</c:v>
                  </c:pt>
                  <c:pt idx="99">
                    <c:v>Lower East Side</c:v>
                  </c:pt>
                  <c:pt idx="100">
                    <c:v>Maspeth</c:v>
                  </c:pt>
                  <c:pt idx="101">
                    <c:v>Midtown</c:v>
                  </c:pt>
                  <c:pt idx="102">
                    <c:v>Mott Haven</c:v>
                  </c:pt>
                  <c:pt idx="103">
                    <c:v>Murray Hill</c:v>
                  </c:pt>
                  <c:pt idx="104">
                    <c:v>Nolita</c:v>
                  </c:pt>
                  <c:pt idx="105">
                    <c:v>Park Slope</c:v>
                  </c:pt>
                  <c:pt idx="106">
                    <c:v>Port Morris</c:v>
                  </c:pt>
                  <c:pt idx="107">
                    <c:v>Prospect Heights</c:v>
                  </c:pt>
                  <c:pt idx="108">
                    <c:v>Prospect-Lefferts Gardens</c:v>
                  </c:pt>
                  <c:pt idx="109">
                    <c:v>Queens Village</c:v>
                  </c:pt>
                  <c:pt idx="110">
                    <c:v>Richmond Hill</c:v>
                  </c:pt>
                  <c:pt idx="111">
                    <c:v>Ridgewood</c:v>
                  </c:pt>
                  <c:pt idx="112">
                    <c:v>Rosedale</c:v>
                  </c:pt>
                  <c:pt idx="113">
                    <c:v>Sheepshead Bay</c:v>
                  </c:pt>
                  <c:pt idx="114">
                    <c:v>SoHo</c:v>
                  </c:pt>
                  <c:pt idx="115">
                    <c:v>South Ozone Park</c:v>
                  </c:pt>
                  <c:pt idx="116">
                    <c:v>Springfield Gardens</c:v>
                  </c:pt>
                  <c:pt idx="117">
                    <c:v>St. Albans</c:v>
                  </c:pt>
                  <c:pt idx="118">
                    <c:v>Sunnyside</c:v>
                  </c:pt>
                  <c:pt idx="119">
                    <c:v>Sunset Park</c:v>
                  </c:pt>
                  <c:pt idx="120">
                    <c:v>Theater District</c:v>
                  </c:pt>
                  <c:pt idx="121">
                    <c:v>Tribeca</c:v>
                  </c:pt>
                  <c:pt idx="122">
                    <c:v>Upper East Side</c:v>
                  </c:pt>
                  <c:pt idx="123">
                    <c:v>Upper West Side</c:v>
                  </c:pt>
                  <c:pt idx="124">
                    <c:v>Washington Heights</c:v>
                  </c:pt>
                  <c:pt idx="125">
                    <c:v>West Village</c:v>
                  </c:pt>
                  <c:pt idx="126">
                    <c:v>Williamsburg</c:v>
                  </c:pt>
                  <c:pt idx="127">
                    <c:v>Woodhaven</c:v>
                  </c:pt>
                  <c:pt idx="128">
                    <c:v>Woodside</c:v>
                  </c:pt>
                </c:lvl>
                <c:lvl>
                  <c:pt idx="0">
                    <c:v>Mexico City</c:v>
                  </c:pt>
                  <c:pt idx="16">
                    <c:v>New Orleans</c:v>
                  </c:pt>
                  <c:pt idx="54">
                    <c:v>NYC</c:v>
                  </c:pt>
                </c:lvl>
              </c:multiLvlStrCache>
            </c:multiLvlStrRef>
          </c:cat>
          <c:val>
            <c:numRef>
              <c:f>pivot_market_entry!$C$4:$C$136</c:f>
              <c:numCache>
                <c:formatCode>0.00</c:formatCode>
                <c:ptCount val="129"/>
                <c:pt idx="0">
                  <c:v>1.9591000000000001</c:v>
                </c:pt>
                <c:pt idx="1">
                  <c:v>0.97529999999999994</c:v>
                </c:pt>
                <c:pt idx="2">
                  <c:v>1.0976999999999999</c:v>
                </c:pt>
                <c:pt idx="3">
                  <c:v>1.7796000000000001</c:v>
                </c:pt>
                <c:pt idx="4">
                  <c:v>1.9508000000000001</c:v>
                </c:pt>
                <c:pt idx="5">
                  <c:v>1.8561000000000001</c:v>
                </c:pt>
                <c:pt idx="6">
                  <c:v>1.4701</c:v>
                </c:pt>
                <c:pt idx="7">
                  <c:v>0.72330000000000005</c:v>
                </c:pt>
                <c:pt idx="8">
                  <c:v>1.7524999999999999</c:v>
                </c:pt>
                <c:pt idx="9">
                  <c:v>1.3977999999999999</c:v>
                </c:pt>
                <c:pt idx="10">
                  <c:v>1.2715000000000001</c:v>
                </c:pt>
                <c:pt idx="11">
                  <c:v>1.0301</c:v>
                </c:pt>
                <c:pt idx="12">
                  <c:v>0.95309999999999995</c:v>
                </c:pt>
                <c:pt idx="13">
                  <c:v>2.9344999999999999</c:v>
                </c:pt>
                <c:pt idx="14">
                  <c:v>0.66239999999999999</c:v>
                </c:pt>
                <c:pt idx="15">
                  <c:v>1.2796000000000001</c:v>
                </c:pt>
                <c:pt idx="16">
                  <c:v>0.75800000000000001</c:v>
                </c:pt>
                <c:pt idx="17">
                  <c:v>0.49509999999999998</c:v>
                </c:pt>
                <c:pt idx="18">
                  <c:v>0.70440000000000003</c:v>
                </c:pt>
                <c:pt idx="19">
                  <c:v>0.61809999999999998</c:v>
                </c:pt>
                <c:pt idx="20">
                  <c:v>0.63539999999999996</c:v>
                </c:pt>
                <c:pt idx="21">
                  <c:v>0.94869999999999999</c:v>
                </c:pt>
                <c:pt idx="22">
                  <c:v>1.2717000000000001</c:v>
                </c:pt>
                <c:pt idx="23">
                  <c:v>0.49130000000000001</c:v>
                </c:pt>
                <c:pt idx="24">
                  <c:v>0.51200000000000001</c:v>
                </c:pt>
                <c:pt idx="25">
                  <c:v>0.54990000000000006</c:v>
                </c:pt>
                <c:pt idx="26">
                  <c:v>1.0619000000000001</c:v>
                </c:pt>
                <c:pt idx="27">
                  <c:v>1.1456999999999999</c:v>
                </c:pt>
                <c:pt idx="28">
                  <c:v>1.2883</c:v>
                </c:pt>
                <c:pt idx="29">
                  <c:v>0.45540000000000003</c:v>
                </c:pt>
                <c:pt idx="30">
                  <c:v>0.32300000000000001</c:v>
                </c:pt>
                <c:pt idx="31">
                  <c:v>0.56840000000000002</c:v>
                </c:pt>
                <c:pt idx="32">
                  <c:v>0.64749999999999996</c:v>
                </c:pt>
                <c:pt idx="33">
                  <c:v>0.25290000000000001</c:v>
                </c:pt>
                <c:pt idx="34">
                  <c:v>0.80269999999999997</c:v>
                </c:pt>
                <c:pt idx="35">
                  <c:v>0.45150000000000001</c:v>
                </c:pt>
                <c:pt idx="36">
                  <c:v>0.74709999999999999</c:v>
                </c:pt>
                <c:pt idx="37">
                  <c:v>0.46889999999999998</c:v>
                </c:pt>
                <c:pt idx="38">
                  <c:v>0.81710000000000005</c:v>
                </c:pt>
                <c:pt idx="39">
                  <c:v>0.56200000000000006</c:v>
                </c:pt>
                <c:pt idx="40">
                  <c:v>0.39190000000000003</c:v>
                </c:pt>
                <c:pt idx="41">
                  <c:v>0.62570000000000003</c:v>
                </c:pt>
                <c:pt idx="42">
                  <c:v>0.56110000000000004</c:v>
                </c:pt>
                <c:pt idx="43">
                  <c:v>0.57550000000000001</c:v>
                </c:pt>
                <c:pt idx="44">
                  <c:v>0.43109999999999998</c:v>
                </c:pt>
                <c:pt idx="45">
                  <c:v>0.86099999999999999</c:v>
                </c:pt>
                <c:pt idx="46">
                  <c:v>0.60829999999999995</c:v>
                </c:pt>
                <c:pt idx="47">
                  <c:v>0.57589999999999997</c:v>
                </c:pt>
                <c:pt idx="48">
                  <c:v>1.1189</c:v>
                </c:pt>
                <c:pt idx="49">
                  <c:v>1.0807</c:v>
                </c:pt>
                <c:pt idx="50">
                  <c:v>1.0491999999999999</c:v>
                </c:pt>
                <c:pt idx="51">
                  <c:v>0.58389999999999997</c:v>
                </c:pt>
                <c:pt idx="52">
                  <c:v>0.59650000000000003</c:v>
                </c:pt>
                <c:pt idx="53">
                  <c:v>0.57669999999999999</c:v>
                </c:pt>
                <c:pt idx="54">
                  <c:v>0.5897</c:v>
                </c:pt>
                <c:pt idx="55">
                  <c:v>0.75629999999999997</c:v>
                </c:pt>
                <c:pt idx="56">
                  <c:v>0.58960000000000001</c:v>
                </c:pt>
                <c:pt idx="57">
                  <c:v>0.70240000000000002</c:v>
                </c:pt>
                <c:pt idx="58">
                  <c:v>1.0333000000000001</c:v>
                </c:pt>
                <c:pt idx="59">
                  <c:v>0.66200000000000003</c:v>
                </c:pt>
                <c:pt idx="60">
                  <c:v>0.36209999999999998</c:v>
                </c:pt>
                <c:pt idx="61">
                  <c:v>0.46089999999999998</c:v>
                </c:pt>
                <c:pt idx="62">
                  <c:v>0.34610000000000002</c:v>
                </c:pt>
                <c:pt idx="63">
                  <c:v>0.67249999999999999</c:v>
                </c:pt>
                <c:pt idx="64">
                  <c:v>0.67559999999999998</c:v>
                </c:pt>
                <c:pt idx="65">
                  <c:v>0.60950000000000004</c:v>
                </c:pt>
                <c:pt idx="66">
                  <c:v>0.51149999999999995</c:v>
                </c:pt>
                <c:pt idx="67">
                  <c:v>0.30430000000000001</c:v>
                </c:pt>
                <c:pt idx="68">
                  <c:v>0.69540000000000002</c:v>
                </c:pt>
                <c:pt idx="69">
                  <c:v>0.80420000000000003</c:v>
                </c:pt>
                <c:pt idx="70">
                  <c:v>0.71619999999999995</c:v>
                </c:pt>
                <c:pt idx="71">
                  <c:v>0.48749999999999999</c:v>
                </c:pt>
                <c:pt idx="72">
                  <c:v>0.33650000000000002</c:v>
                </c:pt>
                <c:pt idx="73">
                  <c:v>0.55179999999999996</c:v>
                </c:pt>
                <c:pt idx="74">
                  <c:v>0.67830000000000001</c:v>
                </c:pt>
                <c:pt idx="75">
                  <c:v>0.70009999999999994</c:v>
                </c:pt>
                <c:pt idx="76">
                  <c:v>0.60670000000000002</c:v>
                </c:pt>
                <c:pt idx="77">
                  <c:v>0.70750000000000002</c:v>
                </c:pt>
                <c:pt idx="78">
                  <c:v>0.31390000000000001</c:v>
                </c:pt>
                <c:pt idx="79">
                  <c:v>0.58140000000000003</c:v>
                </c:pt>
                <c:pt idx="80">
                  <c:v>0.40210000000000001</c:v>
                </c:pt>
                <c:pt idx="81">
                  <c:v>0.3589</c:v>
                </c:pt>
                <c:pt idx="82">
                  <c:v>0.46289999999999998</c:v>
                </c:pt>
                <c:pt idx="83">
                  <c:v>0.40010000000000001</c:v>
                </c:pt>
                <c:pt idx="84">
                  <c:v>0.51300000000000001</c:v>
                </c:pt>
                <c:pt idx="85">
                  <c:v>0.46820000000000001</c:v>
                </c:pt>
                <c:pt idx="86">
                  <c:v>0.67310000000000003</c:v>
                </c:pt>
                <c:pt idx="87">
                  <c:v>0.82379999999999998</c:v>
                </c:pt>
                <c:pt idx="88">
                  <c:v>0.91290000000000004</c:v>
                </c:pt>
                <c:pt idx="89">
                  <c:v>0.35270000000000001</c:v>
                </c:pt>
                <c:pt idx="90">
                  <c:v>0.3931</c:v>
                </c:pt>
                <c:pt idx="91">
                  <c:v>1.1002000000000001</c:v>
                </c:pt>
                <c:pt idx="92">
                  <c:v>1.0226999999999999</c:v>
                </c:pt>
                <c:pt idx="93">
                  <c:v>0.31909999999999999</c:v>
                </c:pt>
                <c:pt idx="94">
                  <c:v>0.43159999999999998</c:v>
                </c:pt>
                <c:pt idx="95">
                  <c:v>0.70609999999999995</c:v>
                </c:pt>
                <c:pt idx="96">
                  <c:v>0.52569999999999995</c:v>
                </c:pt>
                <c:pt idx="97">
                  <c:v>0.56520000000000004</c:v>
                </c:pt>
                <c:pt idx="98">
                  <c:v>2.9508000000000001</c:v>
                </c:pt>
                <c:pt idx="99">
                  <c:v>0.85240000000000005</c:v>
                </c:pt>
                <c:pt idx="100">
                  <c:v>0.36459999999999998</c:v>
                </c:pt>
                <c:pt idx="101">
                  <c:v>1.0259</c:v>
                </c:pt>
                <c:pt idx="102">
                  <c:v>0.38950000000000001</c:v>
                </c:pt>
                <c:pt idx="103">
                  <c:v>0.83530000000000004</c:v>
                </c:pt>
                <c:pt idx="104">
                  <c:v>0.40100000000000002</c:v>
                </c:pt>
                <c:pt idx="105">
                  <c:v>0.46650000000000003</c:v>
                </c:pt>
                <c:pt idx="106">
                  <c:v>0.20930000000000001</c:v>
                </c:pt>
                <c:pt idx="107">
                  <c:v>0.57420000000000004</c:v>
                </c:pt>
                <c:pt idx="108">
                  <c:v>0.49869999999999998</c:v>
                </c:pt>
                <c:pt idx="109">
                  <c:v>0.45979999999999999</c:v>
                </c:pt>
                <c:pt idx="110">
                  <c:v>0.79400000000000004</c:v>
                </c:pt>
                <c:pt idx="111">
                  <c:v>0.39560000000000001</c:v>
                </c:pt>
                <c:pt idx="112">
                  <c:v>0.64370000000000005</c:v>
                </c:pt>
                <c:pt idx="113">
                  <c:v>0.40179999999999999</c:v>
                </c:pt>
                <c:pt idx="114">
                  <c:v>0.97889999999999999</c:v>
                </c:pt>
                <c:pt idx="115">
                  <c:v>0.48549999999999999</c:v>
                </c:pt>
                <c:pt idx="116">
                  <c:v>0.52969999999999995</c:v>
                </c:pt>
                <c:pt idx="117">
                  <c:v>0.58099999999999996</c:v>
                </c:pt>
                <c:pt idx="118">
                  <c:v>0.92090000000000005</c:v>
                </c:pt>
                <c:pt idx="119">
                  <c:v>0.45150000000000001</c:v>
                </c:pt>
                <c:pt idx="120">
                  <c:v>0.61819999999999997</c:v>
                </c:pt>
                <c:pt idx="121">
                  <c:v>0.60699999999999998</c:v>
                </c:pt>
                <c:pt idx="122">
                  <c:v>0.70309999999999995</c:v>
                </c:pt>
                <c:pt idx="123">
                  <c:v>0.55649999999999999</c:v>
                </c:pt>
                <c:pt idx="124">
                  <c:v>0.69650000000000001</c:v>
                </c:pt>
                <c:pt idx="125">
                  <c:v>1.1493</c:v>
                </c:pt>
                <c:pt idx="126">
                  <c:v>0.57040000000000002</c:v>
                </c:pt>
                <c:pt idx="127">
                  <c:v>0.41970000000000002</c:v>
                </c:pt>
                <c:pt idx="128">
                  <c:v>0.53069999999999995</c:v>
                </c:pt>
              </c:numCache>
            </c:numRef>
          </c:val>
          <c:extLst>
            <c:ext xmlns:c16="http://schemas.microsoft.com/office/drawing/2014/chart" uri="{C3380CC4-5D6E-409C-BE32-E72D297353CC}">
              <c16:uniqueId val="{00000001-B8DF-5B45-A719-927169A8454A}"/>
            </c:ext>
          </c:extLst>
        </c:ser>
        <c:dLbls>
          <c:showLegendKey val="0"/>
          <c:showVal val="0"/>
          <c:showCatName val="0"/>
          <c:showSerName val="0"/>
          <c:showPercent val="0"/>
          <c:showBubbleSize val="0"/>
        </c:dLbls>
        <c:gapWidth val="219"/>
        <c:overlap val="-27"/>
        <c:axId val="1736176880"/>
        <c:axId val="1735827472"/>
      </c:barChart>
      <c:catAx>
        <c:axId val="173617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827472"/>
        <c:crosses val="autoZero"/>
        <c:auto val="1"/>
        <c:lblAlgn val="ctr"/>
        <c:lblOffset val="100"/>
        <c:noMultiLvlLbl val="0"/>
      </c:catAx>
      <c:valAx>
        <c:axId val="17358274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7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816339</xdr:colOff>
      <xdr:row>1</xdr:row>
      <xdr:rowOff>0</xdr:rowOff>
    </xdr:from>
    <xdr:to>
      <xdr:col>7</xdr:col>
      <xdr:colOff>188626</xdr:colOff>
      <xdr:row>8</xdr:row>
      <xdr:rowOff>12700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9A032EC8-21A9-D592-42EA-1F6B29EA148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60872" y="203200"/>
              <a:ext cx="1861487" cy="143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1845</xdr:colOff>
      <xdr:row>9</xdr:row>
      <xdr:rowOff>49258</xdr:rowOff>
    </xdr:from>
    <xdr:to>
      <xdr:col>13</xdr:col>
      <xdr:colOff>480765</xdr:colOff>
      <xdr:row>63</xdr:row>
      <xdr:rowOff>117953</xdr:rowOff>
    </xdr:to>
    <xdr:graphicFrame macro="">
      <xdr:nvGraphicFramePr>
        <xdr:cNvPr id="3" name="Chart 2">
          <a:extLst>
            <a:ext uri="{FF2B5EF4-FFF2-40B4-BE49-F238E27FC236}">
              <a16:creationId xmlns:a16="http://schemas.microsoft.com/office/drawing/2014/main" id="{671FE2CB-F715-8A4B-A0B3-0FE508A2A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12700</xdr:colOff>
      <xdr:row>9</xdr:row>
      <xdr:rowOff>0</xdr:rowOff>
    </xdr:from>
    <xdr:to>
      <xdr:col>11</xdr:col>
      <xdr:colOff>457200</xdr:colOff>
      <xdr:row>26</xdr:row>
      <xdr:rowOff>88900</xdr:rowOff>
    </xdr:to>
    <xdr:graphicFrame macro="">
      <xdr:nvGraphicFramePr>
        <xdr:cNvPr id="2" name="Chart 1">
          <a:extLst>
            <a:ext uri="{FF2B5EF4-FFF2-40B4-BE49-F238E27FC236}">
              <a16:creationId xmlns:a16="http://schemas.microsoft.com/office/drawing/2014/main" id="{FC7C16E9-2637-F1FB-8A20-1DB3C9E52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12700</xdr:colOff>
      <xdr:row>2</xdr:row>
      <xdr:rowOff>0</xdr:rowOff>
    </xdr:from>
    <xdr:to>
      <xdr:col>8</xdr:col>
      <xdr:colOff>190500</xdr:colOff>
      <xdr:row>8</xdr:row>
      <xdr:rowOff>38100</xdr:rowOff>
    </xdr:to>
    <mc:AlternateContent xmlns:mc="http://schemas.openxmlformats.org/markup-compatibility/2006" xmlns:a14="http://schemas.microsoft.com/office/drawing/2010/main">
      <mc:Choice Requires="a14">
        <xdr:graphicFrame macro="">
          <xdr:nvGraphicFramePr>
            <xdr:cNvPr id="3" name="city 2">
              <a:extLst>
                <a:ext uri="{FF2B5EF4-FFF2-40B4-BE49-F238E27FC236}">
                  <a16:creationId xmlns:a16="http://schemas.microsoft.com/office/drawing/2014/main" id="{0A66D0D8-7D6F-D6A3-2617-813F5865649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791200" y="406400"/>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25400</xdr:colOff>
      <xdr:row>0</xdr:row>
      <xdr:rowOff>101600</xdr:rowOff>
    </xdr:from>
    <xdr:to>
      <xdr:col>6</xdr:col>
      <xdr:colOff>469900</xdr:colOff>
      <xdr:row>5</xdr:row>
      <xdr:rowOff>139700</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9BCE8434-1797-6BC3-BED6-BC99428C7C7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874500" y="101600"/>
              <a:ext cx="182880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6</xdr:row>
      <xdr:rowOff>127000</xdr:rowOff>
    </xdr:from>
    <xdr:to>
      <xdr:col>6</xdr:col>
      <xdr:colOff>444500</xdr:colOff>
      <xdr:row>19</xdr:row>
      <xdr:rowOff>104772</xdr:rowOff>
    </xdr:to>
    <mc:AlternateContent xmlns:mc="http://schemas.openxmlformats.org/markup-compatibility/2006" xmlns:a14="http://schemas.microsoft.com/office/drawing/2010/main">
      <mc:Choice Requires="a14">
        <xdr:graphicFrame macro="">
          <xdr:nvGraphicFramePr>
            <xdr:cNvPr id="3" name="room_type">
              <a:extLst>
                <a:ext uri="{FF2B5EF4-FFF2-40B4-BE49-F238E27FC236}">
                  <a16:creationId xmlns:a16="http://schemas.microsoft.com/office/drawing/2014/main" id="{0C0828F1-564B-C82E-34EB-7D21D65B9025}"/>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11849100" y="134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12700</xdr:rowOff>
    </xdr:from>
    <xdr:to>
      <xdr:col>3</xdr:col>
      <xdr:colOff>1905000</xdr:colOff>
      <xdr:row>24</xdr:row>
      <xdr:rowOff>63500</xdr:rowOff>
    </xdr:to>
    <xdr:graphicFrame macro="">
      <xdr:nvGraphicFramePr>
        <xdr:cNvPr id="4" name="Chart 3">
          <a:extLst>
            <a:ext uri="{FF2B5EF4-FFF2-40B4-BE49-F238E27FC236}">
              <a16:creationId xmlns:a16="http://schemas.microsoft.com/office/drawing/2014/main" id="{7F7A93EA-3F8D-6A3A-D9D7-D8E5C3E82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673100</xdr:colOff>
      <xdr:row>0</xdr:row>
      <xdr:rowOff>139700</xdr:rowOff>
    </xdr:from>
    <xdr:to>
      <xdr:col>8</xdr:col>
      <xdr:colOff>25400</xdr:colOff>
      <xdr:row>7</xdr:row>
      <xdr:rowOff>139700</xdr:rowOff>
    </xdr:to>
    <mc:AlternateContent xmlns:mc="http://schemas.openxmlformats.org/markup-compatibility/2006" xmlns:a14="http://schemas.microsoft.com/office/drawing/2010/main">
      <mc:Choice Requires="a14">
        <xdr:graphicFrame macro="">
          <xdr:nvGraphicFramePr>
            <xdr:cNvPr id="2" name="city 4">
              <a:extLst>
                <a:ext uri="{FF2B5EF4-FFF2-40B4-BE49-F238E27FC236}">
                  <a16:creationId xmlns:a16="http://schemas.microsoft.com/office/drawing/2014/main" id="{912B8C9D-D87A-B48E-ACCB-17ACED1E67F7}"/>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7456394" y="139700"/>
              <a:ext cx="1817594" cy="1464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673100</xdr:colOff>
      <xdr:row>7</xdr:row>
      <xdr:rowOff>190500</xdr:rowOff>
    </xdr:from>
    <xdr:to>
      <xdr:col>8</xdr:col>
      <xdr:colOff>25400</xdr:colOff>
      <xdr:row>17</xdr:row>
      <xdr:rowOff>139700</xdr:rowOff>
    </xdr:to>
    <mc:AlternateContent xmlns:mc="http://schemas.openxmlformats.org/markup-compatibility/2006" xmlns:a14="http://schemas.microsoft.com/office/drawing/2010/main">
      <mc:Choice Requires="a14">
        <xdr:graphicFrame macro="">
          <xdr:nvGraphicFramePr>
            <xdr:cNvPr id="3" name="market_signal">
              <a:extLst>
                <a:ext uri="{FF2B5EF4-FFF2-40B4-BE49-F238E27FC236}">
                  <a16:creationId xmlns:a16="http://schemas.microsoft.com/office/drawing/2014/main" id="{ED6B96BE-F03F-236E-5D29-0D8A1727DEAA}"/>
                </a:ext>
              </a:extLst>
            </xdr:cNvPr>
            <xdr:cNvGraphicFramePr/>
          </xdr:nvGraphicFramePr>
          <xdr:xfrm>
            <a:off x="0" y="0"/>
            <a:ext cx="0" cy="0"/>
          </xdr:xfrm>
          <a:graphic>
            <a:graphicData uri="http://schemas.microsoft.com/office/drawing/2010/slicer">
              <sle:slicer xmlns:sle="http://schemas.microsoft.com/office/drawing/2010/slicer" name="market_signal"/>
            </a:graphicData>
          </a:graphic>
        </xdr:graphicFrame>
      </mc:Choice>
      <mc:Fallback xmlns="">
        <xdr:sp macro="" textlink="">
          <xdr:nvSpPr>
            <xdr:cNvPr id="0" name=""/>
            <xdr:cNvSpPr>
              <a:spLocks noTextEdit="1"/>
            </xdr:cNvSpPr>
          </xdr:nvSpPr>
          <xdr:spPr>
            <a:xfrm>
              <a:off x="7456394" y="1654735"/>
              <a:ext cx="1817594" cy="2040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692150</xdr:colOff>
      <xdr:row>18</xdr:row>
      <xdr:rowOff>19050</xdr:rowOff>
    </xdr:from>
    <xdr:to>
      <xdr:col>20</xdr:col>
      <xdr:colOff>508000</xdr:colOff>
      <xdr:row>44</xdr:row>
      <xdr:rowOff>76200</xdr:rowOff>
    </xdr:to>
    <xdr:graphicFrame macro="">
      <xdr:nvGraphicFramePr>
        <xdr:cNvPr id="6" name="Chart 5">
          <a:extLst>
            <a:ext uri="{FF2B5EF4-FFF2-40B4-BE49-F238E27FC236}">
              <a16:creationId xmlns:a16="http://schemas.microsoft.com/office/drawing/2014/main" id="{2827189D-8FD0-9146-D8CE-28DA5E8FB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 Mallari" refreshedDate="46189.674983680554" createdVersion="8" refreshedVersion="8" minRefreshableVersion="3" recordCount="129" xr:uid="{767D5E5A-308B-7349-BB6A-FD80BB9F518F}">
  <cacheSource type="worksheet">
    <worksheetSource name="export_q1_neighborhood_stats"/>
  </cacheSource>
  <cacheFields count="15">
    <cacheField name="city" numFmtId="0">
      <sharedItems count="3">
        <s v="Mexico City"/>
        <s v="New Orleans"/>
        <s v="NYC"/>
      </sharedItems>
    </cacheField>
    <cacheField name="neighbourhood" numFmtId="0">
      <sharedItems count="129">
        <s v="Iztacalco"/>
        <s v="Cuauhtémoc"/>
        <s v="Venustiano Carranza"/>
        <s v="Benito Juárez"/>
        <s v="Coyoacán"/>
        <s v="Miguel Hidalgo"/>
        <s v="La Magdalena Contreras"/>
        <s v="Tlalpan"/>
        <s v="Gustavo A. Madero"/>
        <s v="Álvaro Obregón"/>
        <s v="Cuajimalpa de Morelos"/>
        <s v="Azcapotzalco"/>
        <s v="Iztapalapa"/>
        <s v="Tláhuac"/>
        <s v="Xochimilco"/>
        <s v="Milpa Alta"/>
        <s v="City Park"/>
        <s v="Audubon"/>
        <s v="Fairgrounds"/>
        <s v="Irish Channel"/>
        <s v="Dillard"/>
        <s v="Broadmoor"/>
        <s v="East Carrollton"/>
        <s v="Mcdonogh"/>
        <s v="Lower Ninth Ward"/>
        <s v="Bayou St. John"/>
        <s v="Navarre"/>
        <s v="Uptown"/>
        <s v="Treme - Lafitte"/>
        <s v="Gentilly Terrace"/>
        <s v="Algiers Point"/>
        <s v="West Riverside"/>
        <s v="East Riverside"/>
        <s v="Seventh Ward"/>
        <s v="Leonidas"/>
        <s v="Holy Cross"/>
        <s v="Marlyville - Fontainbleau"/>
        <s v="Bywater"/>
        <s v="Milneburg"/>
        <s v="Freret"/>
        <s v="Marigny"/>
        <s v="St. Roch"/>
        <s v="Touro"/>
        <s v="Lower Garden District"/>
        <s v="Milan"/>
        <s v="Lakeview"/>
        <s v="Central City"/>
        <s v="Mid-City"/>
        <s v="St. Thomas Dev"/>
        <s v="French Quarter"/>
        <s v="St. Claude"/>
        <s v="Tulane - Gravier"/>
        <s v="Lake Catherine"/>
        <s v="Central Business District"/>
        <s v="Gramercy"/>
        <s v="West Village"/>
        <s v="Gowanus"/>
        <s v="Fort Greene"/>
        <s v="Prospect Heights"/>
        <s v="College Point"/>
        <s v="Nolita"/>
        <s v="East Village"/>
        <s v="Carroll Gardens"/>
        <s v="Upper East Side"/>
        <s v="Sunnyside"/>
        <s v="Little Italy"/>
        <s v="Boerum Hill"/>
        <s v="Park Slope"/>
        <s v="Tribeca"/>
        <s v="SoHo"/>
        <s v="Greenpoint"/>
        <s v="Clinton Hill"/>
        <s v="Arverne"/>
        <s v="Williamsburg"/>
        <s v="Prospect-Lefferts Gardens"/>
        <s v="Ridgewood"/>
        <s v="Concourse"/>
        <s v="Kips Bay"/>
        <s v="Sunset Park"/>
        <s v="Bedford-Stuyvesant"/>
        <s v="Upper West Side"/>
        <s v="Crown Heights"/>
        <s v="Washington Heights"/>
        <s v="Maspeth"/>
        <s v="Chinatown"/>
        <s v="Lower East Side"/>
        <s v="Bushwick"/>
        <s v="Long Island City"/>
        <s v="Harlem"/>
        <s v="Laurelton"/>
        <s v="East Harlem"/>
        <s v="Richmond Hill"/>
        <s v="Flatbush"/>
        <s v="Cypress Hills"/>
        <s v="Chelsea"/>
        <s v="St. Albans"/>
        <s v="Flushing"/>
        <s v="Financial District"/>
        <s v="Hell's Kitchen"/>
        <s v="East New York"/>
        <s v="Ditmars Steinway"/>
        <s v="Woodhaven"/>
        <s v="Astoria"/>
        <s v="Brownsville"/>
        <s v="Elmhurst"/>
        <s v="Midtown"/>
        <s v="East Flatbush"/>
        <s v="East Elmhurst"/>
        <s v="Woodside"/>
        <s v="Murray Hill"/>
        <s v="Theater District"/>
        <s v="Jamaica"/>
        <s v="Jackson Heights"/>
        <s v="Mott Haven"/>
        <s v="Sheepshead Bay"/>
        <s v="Corona"/>
        <s v="Rosedale"/>
        <s v="Springfield Gardens"/>
        <s v="Fresh Meadows"/>
        <s v="Cambria Heights"/>
        <s v="Canarsie"/>
        <s v="Greenwich Village"/>
        <s v="Downtown Brooklyn"/>
        <s v="Flatlands"/>
        <s v="South Ozone Park"/>
        <s v="Fort Hamilton"/>
        <s v="Queens Village"/>
        <s v="Flatiron District"/>
        <s v="Port Morris"/>
      </sharedItems>
    </cacheField>
    <cacheField name="area" numFmtId="0">
      <sharedItems/>
    </cacheField>
    <cacheField name="supply_count" numFmtId="0">
      <sharedItems containsSemiMixedTypes="0" containsString="0" containsNumber="1" containsInteger="1" minValue="10" maxValue="10971"/>
    </cacheField>
    <cacheField name="avg_occupancy" numFmtId="0">
      <sharedItems containsSemiMixedTypes="0" containsString="0" containsNumber="1" minValue="6.0900000000000003E-2" maxValue="0.68110000000000004"/>
    </cacheField>
    <cacheField name="avg_price_usd" numFmtId="0">
      <sharedItems containsSemiMixedTypes="0" containsString="0" containsNumber="1" minValue="40.244500000000002" maxValue="759.8"/>
    </cacheField>
    <cacheField name="avg_reviews_per_month" numFmtId="0">
      <sharedItems containsSemiMixedTypes="0" containsString="0" containsNumber="1" minValue="0.68" maxValue="3.94"/>
    </cacheField>
    <cacheField name="avg_rating" numFmtId="0">
      <sharedItems containsString="0" containsBlank="1" containsNumber="1" minValue="4.04" maxValue="4.95"/>
    </cacheField>
    <cacheField name="occupancy_tier" numFmtId="0">
      <sharedItems/>
    </cacheField>
    <cacheField name="pricing_tier" numFmtId="0">
      <sharedItems/>
    </cacheField>
    <cacheField name="market_signal" numFmtId="0">
      <sharedItems/>
    </cacheField>
    <cacheField name="demand_score" numFmtId="0">
      <sharedItems containsSemiMixedTypes="0" containsString="0" containsNumber="1" containsInteger="1" minValue="1" maxValue="5"/>
    </cacheField>
    <cacheField name="price_opportunity_score" numFmtId="0">
      <sharedItems containsSemiMixedTypes="0" containsString="0" containsNumber="1" containsInteger="1" minValue="1" maxValue="5"/>
    </cacheField>
    <cacheField name="partnership_priority" numFmtId="0">
      <sharedItems count="4">
        <s v="HIGH"/>
        <s v="MEDIUM"/>
        <s v="LOW"/>
        <s v="PASS"/>
      </sharedItems>
    </cacheField>
    <cacheField name="avg_price" numFmtId="0">
      <sharedItems containsSemiMixedTypes="0" containsString="0" containsNumber="1" minValue="130.25" maxValue="2656.59"/>
    </cacheField>
  </cacheFields>
  <extLst>
    <ext xmlns:x14="http://schemas.microsoft.com/office/spreadsheetml/2009/9/main" uri="{725AE2AE-9491-48be-B2B4-4EB974FC3084}">
      <x14:pivotCacheDefinition pivotCacheId="8859800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 Mallari" refreshedDate="46189.685955092595" createdVersion="8" refreshedVersion="8" minRefreshableVersion="3" recordCount="36" xr:uid="{983ED6FD-DDDA-CA42-836F-BFF8B14420CE}">
  <cacheSource type="worksheet">
    <worksheetSource name="export_q2_seasonality"/>
  </cacheSource>
  <cacheFields count="7">
    <cacheField name="city" numFmtId="0">
      <sharedItems count="3">
        <s v="Mexico City"/>
        <s v="New Orleans"/>
        <s v="NYC"/>
      </sharedItems>
    </cacheField>
    <cacheField name="month_number" numFmtId="0">
      <sharedItems containsSemiMixedTypes="0" containsString="0" containsNumber="1" containsInteger="1" minValue="1" maxValue="12" count="12">
        <n v="1"/>
        <n v="2"/>
        <n v="3"/>
        <n v="4"/>
        <n v="5"/>
        <n v="6"/>
        <n v="7"/>
        <n v="8"/>
        <n v="9"/>
        <n v="10"/>
        <n v="11"/>
        <n v="12"/>
      </sharedItems>
    </cacheField>
    <cacheField name="month_name" numFmtId="0">
      <sharedItems count="12">
        <s v="January  "/>
        <s v="February "/>
        <s v="March    "/>
        <s v="April    "/>
        <s v="May      "/>
        <s v="June     "/>
        <s v="July     "/>
        <s v="August   "/>
        <s v="September"/>
        <s v="October  "/>
        <s v="November "/>
        <s v="December "/>
      </sharedItems>
    </cacheField>
    <cacheField name="booked_nights" numFmtId="0">
      <sharedItems containsSemiMixedTypes="0" containsString="0" containsNumber="1" containsInteger="1" minValue="35072" maxValue="684517"/>
    </cacheField>
    <cacheField name="pct_of_peak" numFmtId="0">
      <sharedItems containsSemiMixedTypes="0" containsString="0" containsNumber="1" minValue="35.700000000000003" maxValue="100"/>
    </cacheField>
    <cacheField name="season_type" numFmtId="0">
      <sharedItems count="4">
        <s v="high season"/>
        <s v="shoulder season"/>
        <s v="peak"/>
        <s v="off peak"/>
      </sharedItems>
    </cacheField>
    <cacheField name="publishing_recommendation" numFmtId="0">
      <sharedItems/>
    </cacheField>
  </cacheFields>
  <extLst>
    <ext xmlns:x14="http://schemas.microsoft.com/office/spreadsheetml/2009/9/main" uri="{725AE2AE-9491-48be-B2B4-4EB974FC3084}">
      <x14:pivotCacheDefinition pivotCacheId="99457573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 Mallari" refreshedDate="46190.461506018517" createdVersion="8" refreshedVersion="8" minRefreshableVersion="3" recordCount="175" xr:uid="{18A5E52A-D7A0-0145-A51A-1B28F7D844F7}">
  <cacheSource type="worksheet">
    <worksheetSource name="export_q3_attribute_performance"/>
  </cacheSource>
  <cacheFields count="11">
    <cacheField name="city" numFmtId="0">
      <sharedItems count="2">
        <s v="New Orleans"/>
        <s v="NYC"/>
      </sharedItems>
    </cacheField>
    <cacheField name="room_type" numFmtId="0">
      <sharedItems count="4">
        <s v="Hotel room"/>
        <s v="Entire home/apt"/>
        <s v="Private room"/>
        <s v="Shared room"/>
      </sharedItems>
    </cacheField>
    <cacheField name="host_is_superhost" numFmtId="0">
      <sharedItems count="3">
        <s v="t"/>
        <s v="f"/>
        <s v=""/>
      </sharedItems>
    </cacheField>
    <cacheField name="accommodates" numFmtId="0">
      <sharedItems containsSemiMixedTypes="0" containsString="0" containsNumber="1" containsInteger="1" minValue="1" maxValue="16"/>
    </cacheField>
    <cacheField name="cleanliness_score" numFmtId="0">
      <sharedItems containsSemiMixedTypes="0" containsString="0" containsNumber="1" containsInteger="1" minValue="4" maxValue="5" count="2">
        <n v="5"/>
        <n v="4"/>
      </sharedItems>
    </cacheField>
    <cacheField name="location_score" numFmtId="0">
      <sharedItems containsSemiMixedTypes="0" containsString="0" containsNumber="1" containsInteger="1" minValue="4" maxValue="5"/>
    </cacheField>
    <cacheField name="value_score" numFmtId="0">
      <sharedItems containsSemiMixedTypes="0" containsString="0" containsNumber="1" containsInteger="1" minValue="3" maxValue="5"/>
    </cacheField>
    <cacheField name="avg_occupancy" numFmtId="0">
      <sharedItems containsSemiMixedTypes="0" containsString="0" containsNumber="1" minValue="4.3799999999999999E-2" maxValue="0.83479999999999999"/>
    </cacheField>
    <cacheField name="avg_rating" numFmtId="0">
      <sharedItems containsSemiMixedTypes="0" containsString="0" containsNumber="1" minValue="3.08" maxValue="4.97"/>
    </cacheField>
    <cacheField name="avg_price" numFmtId="0">
      <sharedItems containsSemiMixedTypes="0" containsString="0" containsNumber="1" minValue="103.3" maxValue="1698.06"/>
    </cacheField>
    <cacheField name="listing_count" numFmtId="0">
      <sharedItems containsSemiMixedTypes="0" containsString="0" containsNumber="1" containsInteger="1" minValue="5" maxValue="898"/>
    </cacheField>
  </cacheFields>
  <extLst>
    <ext xmlns:x14="http://schemas.microsoft.com/office/spreadsheetml/2009/9/main" uri="{725AE2AE-9491-48be-B2B4-4EB974FC3084}">
      <x14:pivotCacheDefinition pivotCacheId="175426440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 Mallari" refreshedDate="46190.480375578707" createdVersion="8" refreshedVersion="8" minRefreshableVersion="3" recordCount="129" xr:uid="{4EEB7C09-38DB-FA44-850B-F16CE25159E5}">
  <cacheSource type="worksheet">
    <worksheetSource name="export_q4_market_entry__2"/>
  </cacheSource>
  <cacheFields count="12">
    <cacheField name="city" numFmtId="0">
      <sharedItems count="3">
        <s v="Mexico City"/>
        <s v="New Orleans"/>
        <s v="NYC"/>
      </sharedItems>
    </cacheField>
    <cacheField name="neighbourhood" numFmtId="0">
      <sharedItems count="129">
        <s v="Iztacalco"/>
        <s v="Cuauhtémoc"/>
        <s v="Venustiano Carranza"/>
        <s v="Benito Juárez"/>
        <s v="Coyoacán"/>
        <s v="Miguel Hidalgo"/>
        <s v="La Magdalena Contreras"/>
        <s v="Tlalpan"/>
        <s v="Gustavo A. Madero"/>
        <s v="Álvaro Obregón"/>
        <s v="Cuajimalpa de Morelos"/>
        <s v="Azcapotzalco"/>
        <s v="Iztapalapa"/>
        <s v="Tláhuac"/>
        <s v="Xochimilco"/>
        <s v="Milpa Alta"/>
        <s v="City Park"/>
        <s v="Audubon"/>
        <s v="Fairgrounds"/>
        <s v="Irish Channel"/>
        <s v="Dillard"/>
        <s v="Broadmoor"/>
        <s v="East Carrollton"/>
        <s v="Mcdonogh"/>
        <s v="Lower Ninth Ward"/>
        <s v="Bayou St. John"/>
        <s v="Navarre"/>
        <s v="Uptown"/>
        <s v="Treme - Lafitte"/>
        <s v="Gentilly Terrace"/>
        <s v="Algiers Point"/>
        <s v="West Riverside"/>
        <s v="East Riverside"/>
        <s v="Seventh Ward"/>
        <s v="Leonidas"/>
        <s v="Holy Cross"/>
        <s v="Marlyville - Fontainbleau"/>
        <s v="Bywater"/>
        <s v="Milneburg"/>
        <s v="Freret"/>
        <s v="Marigny"/>
        <s v="St. Roch"/>
        <s v="Touro"/>
        <s v="Lower Garden District"/>
        <s v="Milan"/>
        <s v="Lakeview"/>
        <s v="Central City"/>
        <s v="Mid-City"/>
        <s v="St. Thomas Dev"/>
        <s v="French Quarter"/>
        <s v="St. Claude"/>
        <s v="Tulane - Gravier"/>
        <s v="Lake Catherine"/>
        <s v="Central Business District"/>
        <s v="Gramercy"/>
        <s v="West Village"/>
        <s v="Gowanus"/>
        <s v="Fort Greene"/>
        <s v="Prospect Heights"/>
        <s v="College Point"/>
        <s v="Nolita"/>
        <s v="East Village"/>
        <s v="Carroll Gardens"/>
        <s v="Upper East Side"/>
        <s v="Sunnyside"/>
        <s v="Little Italy"/>
        <s v="Boerum Hill"/>
        <s v="Park Slope"/>
        <s v="Tribeca"/>
        <s v="SoHo"/>
        <s v="Greenpoint"/>
        <s v="Clinton Hill"/>
        <s v="Arverne"/>
        <s v="Williamsburg"/>
        <s v="Prospect-Lefferts Gardens"/>
        <s v="Ridgewood"/>
        <s v="Concourse"/>
        <s v="Kips Bay"/>
        <s v="Sunset Park"/>
        <s v="Bedford-Stuyvesant"/>
        <s v="Upper West Side"/>
        <s v="Crown Heights"/>
        <s v="Washington Heights"/>
        <s v="Maspeth"/>
        <s v="Chinatown"/>
        <s v="Lower East Side"/>
        <s v="Bushwick"/>
        <s v="Long Island City"/>
        <s v="Harlem"/>
        <s v="Laurelton"/>
        <s v="East Harlem"/>
        <s v="Richmond Hill"/>
        <s v="Flatbush"/>
        <s v="Cypress Hills"/>
        <s v="Chelsea"/>
        <s v="St. Albans"/>
        <s v="Flushing"/>
        <s v="Financial District"/>
        <s v="Hell's Kitchen"/>
        <s v="East New York"/>
        <s v="Ditmars Steinway"/>
        <s v="Woodhaven"/>
        <s v="Astoria"/>
        <s v="Brownsville"/>
        <s v="Elmhurst"/>
        <s v="Midtown"/>
        <s v="East Flatbush"/>
        <s v="East Elmhurst"/>
        <s v="Woodside"/>
        <s v="Murray Hill"/>
        <s v="Theater District"/>
        <s v="Jamaica"/>
        <s v="Jackson Heights"/>
        <s v="Mott Haven"/>
        <s v="Sheepshead Bay"/>
        <s v="Corona"/>
        <s v="Rosedale"/>
        <s v="Springfield Gardens"/>
        <s v="Fresh Meadows"/>
        <s v="Cambria Heights"/>
        <s v="Canarsie"/>
        <s v="Greenwich Village"/>
        <s v="Downtown Brooklyn"/>
        <s v="Flatlands"/>
        <s v="South Ozone Park"/>
        <s v="Fort Hamilton"/>
        <s v="Queens Village"/>
        <s v="Flatiron District"/>
        <s v="Port Morris"/>
      </sharedItems>
    </cacheField>
    <cacheField name="area" numFmtId="0">
      <sharedItems/>
    </cacheField>
    <cacheField name="listing_count" numFmtId="0">
      <sharedItems containsSemiMixedTypes="0" containsString="0" containsNumber="1" containsInteger="1" minValue="10" maxValue="10971"/>
    </cacheField>
    <cacheField name="avg_occupancy" numFmtId="0">
      <sharedItems containsSemiMixedTypes="0" containsString="0" containsNumber="1" minValue="6.0900000000000003E-2" maxValue="0.68110000000000004" count="128">
        <n v="0.32369999999999999"/>
        <n v="0.31459999999999999"/>
        <n v="0.31380000000000002"/>
        <n v="0.3115"/>
        <n v="0.30630000000000002"/>
        <n v="0.2989"/>
        <n v="0.2787"/>
        <n v="0.26629999999999998"/>
        <n v="0.25509999999999999"/>
        <n v="0.25280000000000002"/>
        <n v="0.2445"/>
        <n v="0.22789999999999999"/>
        <n v="0.18920000000000001"/>
        <n v="0.1726"/>
        <n v="0.17150000000000001"/>
        <n v="8.1699999999999995E-2"/>
        <n v="0.55410000000000004"/>
        <n v="0.52559999999999996"/>
        <n v="0.50670000000000004"/>
        <n v="0.50349999999999995"/>
        <n v="0.49590000000000001"/>
        <n v="0.49530000000000002"/>
        <n v="0.49480000000000002"/>
        <n v="0.48130000000000001"/>
        <n v="0.48110000000000003"/>
        <n v="0.4723"/>
        <n v="0.46500000000000002"/>
        <n v="0.46489999999999998"/>
        <n v="0.4642"/>
        <n v="0.46079999999999999"/>
        <n v="0.44409999999999999"/>
        <n v="0.44209999999999999"/>
        <n v="0.43719999999999998"/>
        <n v="0.4335"/>
        <n v="0.42659999999999998"/>
        <n v="0.42049999999999998"/>
        <n v="0.42"/>
        <n v="0.41470000000000001"/>
        <n v="0.41439999999999999"/>
        <n v="0.3881"/>
        <n v="0.3775"/>
        <n v="0.37109999999999999"/>
        <n v="0.37069999999999997"/>
        <n v="0.36849999999999999"/>
        <n v="0.36549999999999999"/>
        <n v="0.3624"/>
        <n v="0.34029999999999999"/>
        <n v="0.30230000000000001"/>
        <n v="0.29899999999999999"/>
        <n v="0.28539999999999999"/>
        <n v="0.2707"/>
        <n v="0.25530000000000003"/>
        <n v="0.25119999999999998"/>
        <n v="0.22889999999999999"/>
        <n v="0.68110000000000004"/>
        <n v="0.64610000000000001"/>
        <n v="0.61150000000000004"/>
        <n v="0.60270000000000001"/>
        <n v="0.57010000000000005"/>
        <n v="0.56859999999999999"/>
        <n v="0.56689999999999996"/>
        <n v="0.56679999999999997"/>
        <n v="0.55889999999999995"/>
        <n v="0.53849999999999998"/>
        <n v="0.53669999999999995"/>
        <n v="0.52380000000000004"/>
        <n v="0.52159999999999995"/>
        <n v="0.51749999999999996"/>
        <n v="0.5151"/>
        <n v="0.5131"/>
        <n v="0.49199999999999999"/>
        <n v="0.49030000000000001"/>
        <n v="0.48470000000000002"/>
        <n v="0.48449999999999999"/>
        <n v="0.4834"/>
        <n v="0.47560000000000002"/>
        <n v="0.47549999999999998"/>
        <n v="0.47149999999999997"/>
        <n v="0.46939999999999998"/>
        <n v="0.46860000000000002"/>
        <n v="0.46560000000000001"/>
        <n v="0.45669999999999999"/>
        <n v="0.45469999999999999"/>
        <n v="0.4541"/>
        <n v="0.44879999999999998"/>
        <n v="0.43120000000000003"/>
        <n v="0.42880000000000001"/>
        <n v="0.42820000000000003"/>
        <n v="0.4249"/>
        <n v="0.4224"/>
        <n v="0.41820000000000002"/>
        <n v="0.41649999999999998"/>
        <n v="0.41639999999999999"/>
        <n v="0.41339999999999999"/>
        <n v="0.4133"/>
        <n v="0.40910000000000002"/>
        <n v="0.40400000000000003"/>
        <n v="0.4022"/>
        <n v="0.3947"/>
        <n v="0.3916"/>
        <n v="0.39129999999999998"/>
        <n v="0.39040000000000002"/>
        <n v="0.38929999999999998"/>
        <n v="0.38379999999999997"/>
        <n v="0.38240000000000002"/>
        <n v="0.376"/>
        <n v="0.37409999999999999"/>
        <n v="0.36730000000000002"/>
        <n v="0.34899999999999998"/>
        <n v="0.34210000000000002"/>
        <n v="0.33679999999999999"/>
        <n v="0.32700000000000001"/>
        <n v="0.3039"/>
        <n v="0.30380000000000001"/>
        <n v="0.28889999999999999"/>
        <n v="0.2888"/>
        <n v="0.28799999999999998"/>
        <n v="0.28770000000000001"/>
        <n v="0.28520000000000001"/>
        <n v="0.27829999999999999"/>
        <n v="0.26800000000000002"/>
        <n v="0.2422"/>
        <n v="0.2331"/>
        <n v="0.2155"/>
        <n v="0.21510000000000001"/>
        <n v="0.15870000000000001"/>
        <n v="9.5899999999999999E-2"/>
        <n v="6.0900000000000003E-2"/>
      </sharedItems>
    </cacheField>
    <cacheField name="avg_price" numFmtId="0">
      <sharedItems containsSemiMixedTypes="0" containsString="0" containsNumber="1" minValue="130.25" maxValue="2656.59"/>
    </cacheField>
    <cacheField name="price_stddev" numFmtId="0">
      <sharedItems containsSemiMixedTypes="0" containsString="0" containsNumber="1" minValue="39.04" maxValue="7555.97"/>
    </cacheField>
    <cacheField name="coeff_of_variation" numFmtId="0">
      <sharedItems containsSemiMixedTypes="0" containsString="0" containsNumber="1" minValue="0.20930000000000001" maxValue="2.9508000000000001" count="128">
        <n v="0.72330000000000005"/>
        <n v="1.8561000000000001"/>
        <n v="0.66239999999999999"/>
        <n v="1.0976999999999999"/>
        <n v="1.7796000000000001"/>
        <n v="1.2715000000000001"/>
        <n v="1.3977999999999999"/>
        <n v="2.9344999999999999"/>
        <n v="1.4701"/>
        <n v="1.9591000000000001"/>
        <n v="1.9508000000000001"/>
        <n v="0.97529999999999994"/>
        <n v="1.7524999999999999"/>
        <n v="0.95309999999999995"/>
        <n v="1.2796000000000001"/>
        <n v="1.0301"/>
        <n v="0.49130000000000001"/>
        <n v="0.49509999999999998"/>
        <n v="1.1456999999999999"/>
        <n v="0.64749999999999996"/>
        <n v="0.51200000000000001"/>
        <n v="0.61809999999999998"/>
        <n v="0.54990000000000006"/>
        <n v="0.39190000000000003"/>
        <n v="0.46889999999999998"/>
        <n v="0.70440000000000003"/>
        <n v="0.43109999999999998"/>
        <n v="0.59650000000000003"/>
        <n v="1.0491999999999999"/>
        <n v="0.32300000000000001"/>
        <n v="0.75800000000000001"/>
        <n v="0.57669999999999999"/>
        <n v="1.0619000000000001"/>
        <n v="0.86099999999999999"/>
        <n v="0.45150000000000001"/>
        <n v="0.56840000000000002"/>
        <n v="0.56200000000000006"/>
        <n v="0.63539999999999996"/>
        <n v="0.57550000000000001"/>
        <n v="0.45540000000000003"/>
        <n v="0.81710000000000005"/>
        <n v="0.57589999999999997"/>
        <n v="1.0807"/>
        <n v="0.74709999999999999"/>
        <n v="0.56110000000000004"/>
        <n v="0.80269999999999997"/>
        <n v="1.2717000000000001"/>
        <n v="0.62570000000000003"/>
        <n v="1.1189"/>
        <n v="1.2883"/>
        <n v="0.60829999999999995"/>
        <n v="0.58389999999999997"/>
        <n v="0.25290000000000001"/>
        <n v="0.94869999999999999"/>
        <n v="0.91290000000000004"/>
        <n v="1.1493"/>
        <n v="0.82379999999999998"/>
        <n v="0.51300000000000001"/>
        <n v="0.57420000000000004"/>
        <n v="0.51149999999999995"/>
        <n v="0.40100000000000002"/>
        <n v="0.70750000000000002"/>
        <n v="0.34610000000000002"/>
        <n v="0.70309999999999995"/>
        <n v="0.92090000000000005"/>
        <n v="0.56520000000000004"/>
        <n v="0.70240000000000002"/>
        <n v="0.46650000000000003"/>
        <n v="0.60699999999999998"/>
        <n v="0.97889999999999999"/>
        <n v="0.35270000000000001"/>
        <n v="0.60950000000000004"/>
        <n v="0.5897"/>
        <n v="0.57040000000000002"/>
        <n v="0.49869999999999998"/>
        <n v="0.39560000000000001"/>
        <n v="0.30430000000000001"/>
        <n v="0.70609999999999995"/>
        <n v="0.58960000000000001"/>
        <n v="0.55649999999999999"/>
        <n v="0.80420000000000003"/>
        <n v="0.69650000000000001"/>
        <n v="0.36459999999999998"/>
        <n v="0.67559999999999998"/>
        <n v="0.85240000000000005"/>
        <n v="0.66200000000000003"/>
        <n v="2.9508000000000001"/>
        <n v="1.1002000000000001"/>
        <n v="0.52569999999999995"/>
        <n v="0.70009999999999994"/>
        <n v="0.79400000000000004"/>
        <n v="0.40210000000000001"/>
        <n v="0.71619999999999995"/>
        <n v="0.67249999999999999"/>
        <n v="0.58099999999999996"/>
        <n v="0.40010000000000001"/>
        <n v="0.58140000000000003"/>
        <n v="1.0226999999999999"/>
        <n v="0.60670000000000002"/>
        <n v="0.48749999999999999"/>
        <n v="0.41970000000000002"/>
        <n v="0.75629999999999997"/>
        <n v="1.0333000000000001"/>
        <n v="0.31390000000000001"/>
        <n v="1.0259"/>
        <n v="0.67830000000000001"/>
        <n v="0.55179999999999996"/>
        <n v="0.53069999999999995"/>
        <n v="0.83530000000000004"/>
        <n v="0.61819999999999997"/>
        <n v="0.43159999999999998"/>
        <n v="0.31909999999999999"/>
        <n v="0.38950000000000001"/>
        <n v="0.40179999999999999"/>
        <n v="0.69540000000000002"/>
        <n v="0.64370000000000005"/>
        <n v="0.52969999999999995"/>
        <n v="0.67310000000000003"/>
        <n v="0.36209999999999998"/>
        <n v="0.46089999999999998"/>
        <n v="0.3931"/>
        <n v="0.33650000000000002"/>
        <n v="0.46289999999999998"/>
        <n v="0.48549999999999999"/>
        <n v="0.46820000000000001"/>
        <n v="0.45979999999999999"/>
        <n v="0.3589"/>
        <n v="0.20930000000000001"/>
      </sharedItems>
    </cacheField>
    <cacheField name="occupancy_gap_pct" numFmtId="0">
      <sharedItems containsSemiMixedTypes="0" containsString="0" containsNumber="1" minValue="-34.86" maxValue="27.16"/>
    </cacheField>
    <cacheField name="price_gap" numFmtId="0">
      <sharedItems containsSemiMixedTypes="0" containsString="0" containsNumber="1" minValue="-1449.91" maxValue="413.74"/>
    </cacheField>
    <cacheField name="market_signal" numFmtId="0">
      <sharedItems count="5">
        <s v="GO -- high demand, underpriced"/>
        <s v="MONITOR -- high demand, already premium"/>
        <s v="GO -- high demand, underpriced, volatile market"/>
        <s v="NO GO -- overpriced relative to demand"/>
        <s v="NO GO -- low demand, low price"/>
      </sharedItems>
    </cacheField>
    <cacheField name="go_no_go_scor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873056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x v="0"/>
    <s v=""/>
    <n v="414"/>
    <n v="0.32369999999999999"/>
    <n v="68.871000000000009"/>
    <n v="2.5099999999999998"/>
    <m/>
    <s v="above average"/>
    <s v="lag"/>
    <s v="opportunity"/>
    <n v="3"/>
    <n v="5"/>
    <x v="0"/>
    <n v="1377.42"/>
  </r>
  <r>
    <x v="0"/>
    <x v="1"/>
    <s v=""/>
    <n v="10971"/>
    <n v="0.31459999999999999"/>
    <n v="125.7885"/>
    <n v="2.38"/>
    <m/>
    <s v="above average"/>
    <s v="premium"/>
    <s v="high demand"/>
    <n v="3"/>
    <n v="3"/>
    <x v="1"/>
    <n v="2515.77"/>
  </r>
  <r>
    <x v="0"/>
    <x v="2"/>
    <s v=""/>
    <n v="808"/>
    <n v="0.31380000000000002"/>
    <n v="61.250999999999998"/>
    <n v="3.01"/>
    <m/>
    <s v="above average"/>
    <s v="lag"/>
    <s v="opportunity"/>
    <n v="3"/>
    <n v="5"/>
    <x v="0"/>
    <n v="1225.02"/>
  </r>
  <r>
    <x v="0"/>
    <x v="3"/>
    <s v=""/>
    <n v="2425"/>
    <n v="0.3115"/>
    <n v="83.466999999999999"/>
    <n v="1.83"/>
    <m/>
    <s v="above average"/>
    <s v="lag"/>
    <s v="opportunity"/>
    <n v="3"/>
    <n v="5"/>
    <x v="0"/>
    <n v="1669.34"/>
  </r>
  <r>
    <x v="0"/>
    <x v="4"/>
    <s v=""/>
    <n v="1389"/>
    <n v="0.30630000000000002"/>
    <n v="98.897000000000006"/>
    <n v="1.72"/>
    <m/>
    <s v="above average"/>
    <s v="lag"/>
    <s v="opportunity"/>
    <n v="3"/>
    <n v="5"/>
    <x v="0"/>
    <n v="1977.94"/>
  </r>
  <r>
    <x v="0"/>
    <x v="5"/>
    <s v=""/>
    <n v="3450"/>
    <n v="0.2989"/>
    <n v="132.8295"/>
    <n v="2.0299999999999998"/>
    <m/>
    <s v="below average"/>
    <s v="premium"/>
    <s v="overpriced"/>
    <n v="2"/>
    <n v="1"/>
    <x v="2"/>
    <n v="2656.59"/>
  </r>
  <r>
    <x v="0"/>
    <x v="6"/>
    <s v=""/>
    <n v="102"/>
    <n v="0.2787"/>
    <n v="106.86449999999999"/>
    <n v="0.77"/>
    <m/>
    <s v="below average"/>
    <s v="lag"/>
    <s v="low demand"/>
    <n v="2"/>
    <n v="2"/>
    <x v="3"/>
    <n v="2137.29"/>
  </r>
  <r>
    <x v="0"/>
    <x v="7"/>
    <s v=""/>
    <n v="598"/>
    <n v="0.26629999999999998"/>
    <n v="128.74250000000001"/>
    <n v="1.29"/>
    <m/>
    <s v="below average"/>
    <s v="premium"/>
    <s v="overpriced"/>
    <n v="2"/>
    <n v="1"/>
    <x v="2"/>
    <n v="2574.85"/>
  </r>
  <r>
    <x v="0"/>
    <x v="8"/>
    <s v=""/>
    <n v="440"/>
    <n v="0.25509999999999999"/>
    <n v="56.759"/>
    <n v="1.93"/>
    <m/>
    <s v="below average"/>
    <s v="lag"/>
    <s v="low demand"/>
    <n v="2"/>
    <n v="2"/>
    <x v="3"/>
    <n v="1135.18"/>
  </r>
  <r>
    <x v="0"/>
    <x v="9"/>
    <s v=""/>
    <n v="689"/>
    <n v="0.25280000000000002"/>
    <n v="92.825999999999993"/>
    <n v="1.26"/>
    <m/>
    <s v="below average"/>
    <s v="lag"/>
    <s v="low demand"/>
    <n v="2"/>
    <n v="2"/>
    <x v="3"/>
    <n v="1856.52"/>
  </r>
  <r>
    <x v="0"/>
    <x v="10"/>
    <s v=""/>
    <n v="305"/>
    <n v="0.2445"/>
    <n v="130.34"/>
    <n v="1.66"/>
    <m/>
    <s v="below average"/>
    <s v="premium"/>
    <s v="overpriced"/>
    <n v="2"/>
    <n v="1"/>
    <x v="2"/>
    <n v="2606.8000000000002"/>
  </r>
  <r>
    <x v="0"/>
    <x v="11"/>
    <s v=""/>
    <n v="353"/>
    <n v="0.22789999999999999"/>
    <n v="56.855499999999992"/>
    <n v="2.2999999999999998"/>
    <m/>
    <s v="below average"/>
    <s v="lag"/>
    <s v="low demand"/>
    <n v="2"/>
    <n v="2"/>
    <x v="3"/>
    <n v="1137.1099999999999"/>
  </r>
  <r>
    <x v="0"/>
    <x v="12"/>
    <s v=""/>
    <n v="262"/>
    <n v="0.18920000000000001"/>
    <n v="59.544500000000006"/>
    <n v="1.78"/>
    <m/>
    <s v="below average"/>
    <s v="lag"/>
    <s v="low demand"/>
    <n v="1"/>
    <n v="2"/>
    <x v="3"/>
    <n v="1190.8900000000001"/>
  </r>
  <r>
    <x v="0"/>
    <x v="13"/>
    <s v=""/>
    <n v="28"/>
    <n v="0.1726"/>
    <n v="40.244500000000002"/>
    <n v="0.87"/>
    <m/>
    <s v="below average"/>
    <s v="lag"/>
    <s v="low demand"/>
    <n v="1"/>
    <n v="2"/>
    <x v="3"/>
    <n v="804.89"/>
  </r>
  <r>
    <x v="0"/>
    <x v="14"/>
    <s v=""/>
    <n v="111"/>
    <n v="0.17150000000000001"/>
    <n v="94.525499999999994"/>
    <n v="1.07"/>
    <m/>
    <s v="below average"/>
    <s v="lag"/>
    <s v="low demand"/>
    <n v="1"/>
    <n v="2"/>
    <x v="3"/>
    <n v="1890.51"/>
  </r>
  <r>
    <x v="0"/>
    <x v="15"/>
    <s v=""/>
    <n v="21"/>
    <n v="8.1699999999999995E-2"/>
    <n v="76.954999999999998"/>
    <n v="0.68"/>
    <m/>
    <s v="below average"/>
    <s v="lag"/>
    <s v="low demand"/>
    <n v="1"/>
    <n v="2"/>
    <x v="3"/>
    <n v="1539.1"/>
  </r>
  <r>
    <x v="1"/>
    <x v="16"/>
    <s v=""/>
    <n v="24"/>
    <n v="0.55410000000000004"/>
    <n v="311.89999999999998"/>
    <n v="2.0099999999999998"/>
    <n v="4.93"/>
    <s v="above average"/>
    <s v="lag"/>
    <s v="opportunity"/>
    <n v="5"/>
    <n v="5"/>
    <x v="0"/>
    <n v="311.89999999999998"/>
  </r>
  <r>
    <x v="1"/>
    <x v="17"/>
    <s v=""/>
    <n v="40"/>
    <n v="0.52559999999999996"/>
    <n v="330.78"/>
    <n v="1.67"/>
    <n v="4.9000000000000004"/>
    <s v="above average"/>
    <s v="lag"/>
    <s v="opportunity"/>
    <n v="5"/>
    <n v="5"/>
    <x v="0"/>
    <n v="330.78"/>
  </r>
  <r>
    <x v="1"/>
    <x v="18"/>
    <s v=""/>
    <n v="28"/>
    <n v="0.50670000000000004"/>
    <n v="322.69"/>
    <n v="2.2000000000000002"/>
    <n v="4.93"/>
    <s v="above average"/>
    <s v="lag"/>
    <s v="opportunity"/>
    <n v="5"/>
    <n v="5"/>
    <x v="0"/>
    <n v="322.69"/>
  </r>
  <r>
    <x v="1"/>
    <x v="19"/>
    <s v=""/>
    <n v="58"/>
    <n v="0.50349999999999995"/>
    <n v="291.08999999999997"/>
    <n v="2.67"/>
    <n v="4.91"/>
    <s v="above average"/>
    <s v="lag"/>
    <s v="opportunity"/>
    <n v="5"/>
    <n v="5"/>
    <x v="0"/>
    <n v="291.08999999999997"/>
  </r>
  <r>
    <x v="1"/>
    <x v="20"/>
    <s v=""/>
    <n v="14"/>
    <n v="0.49590000000000001"/>
    <n v="313.87"/>
    <n v="1.97"/>
    <n v="4.82"/>
    <s v="above average"/>
    <s v="lag"/>
    <s v="opportunity"/>
    <n v="4"/>
    <n v="5"/>
    <x v="0"/>
    <n v="313.87"/>
  </r>
  <r>
    <x v="1"/>
    <x v="21"/>
    <s v=""/>
    <n v="49"/>
    <n v="0.49530000000000002"/>
    <n v="312.66000000000003"/>
    <n v="2.2200000000000002"/>
    <n v="4.88"/>
    <s v="above average"/>
    <s v="lag"/>
    <s v="opportunity"/>
    <n v="4"/>
    <n v="5"/>
    <x v="0"/>
    <n v="312.66000000000003"/>
  </r>
  <r>
    <x v="1"/>
    <x v="22"/>
    <s v=""/>
    <n v="17"/>
    <n v="0.49480000000000002"/>
    <n v="285.76"/>
    <n v="1.97"/>
    <n v="4.91"/>
    <s v="above average"/>
    <s v="lag"/>
    <s v="opportunity"/>
    <n v="4"/>
    <n v="5"/>
    <x v="0"/>
    <n v="285.76"/>
  </r>
  <r>
    <x v="1"/>
    <x v="23"/>
    <s v=""/>
    <n v="24"/>
    <n v="0.48130000000000001"/>
    <n v="241.42"/>
    <n v="1.82"/>
    <n v="4.7300000000000004"/>
    <s v="above average"/>
    <s v="lag"/>
    <s v="opportunity"/>
    <n v="4"/>
    <n v="5"/>
    <x v="0"/>
    <n v="241.42"/>
  </r>
  <r>
    <x v="1"/>
    <x v="24"/>
    <s v=""/>
    <n v="10"/>
    <n v="0.48110000000000003"/>
    <n v="295.72000000000003"/>
    <n v="1.98"/>
    <n v="4.8"/>
    <s v="above average"/>
    <s v="lag"/>
    <s v="opportunity"/>
    <n v="4"/>
    <n v="5"/>
    <x v="0"/>
    <n v="295.72000000000003"/>
  </r>
  <r>
    <x v="1"/>
    <x v="25"/>
    <s v=""/>
    <n v="58"/>
    <n v="0.4723"/>
    <n v="282.35000000000002"/>
    <n v="2.11"/>
    <n v="4.8899999999999997"/>
    <s v="above average"/>
    <s v="lag"/>
    <s v="opportunity"/>
    <n v="4"/>
    <n v="5"/>
    <x v="0"/>
    <n v="282.35000000000002"/>
  </r>
  <r>
    <x v="1"/>
    <x v="26"/>
    <s v=""/>
    <n v="11"/>
    <n v="0.46500000000000002"/>
    <n v="350.23"/>
    <n v="1.43"/>
    <n v="4.87"/>
    <s v="above average"/>
    <s v="lag"/>
    <s v="opportunity"/>
    <n v="4"/>
    <n v="5"/>
    <x v="0"/>
    <n v="350.23"/>
  </r>
  <r>
    <x v="1"/>
    <x v="27"/>
    <s v=""/>
    <n v="52"/>
    <n v="0.46489999999999998"/>
    <n v="370.71"/>
    <n v="2.2999999999999998"/>
    <n v="4.92"/>
    <s v="above average"/>
    <s v="premium"/>
    <s v="high demand"/>
    <n v="4"/>
    <n v="3"/>
    <x v="1"/>
    <n v="370.71"/>
  </r>
  <r>
    <x v="1"/>
    <x v="28"/>
    <s v=""/>
    <n v="170"/>
    <n v="0.4642"/>
    <n v="417.01"/>
    <n v="2.06"/>
    <n v="4.84"/>
    <s v="above average"/>
    <s v="premium"/>
    <s v="high demand"/>
    <n v="4"/>
    <n v="3"/>
    <x v="1"/>
    <n v="417.01"/>
  </r>
  <r>
    <x v="1"/>
    <x v="29"/>
    <s v=""/>
    <n v="16"/>
    <n v="0.46079999999999999"/>
    <n v="256.27"/>
    <n v="1.53"/>
    <n v="4.8099999999999996"/>
    <s v="above average"/>
    <s v="lag"/>
    <s v="opportunity"/>
    <n v="4"/>
    <n v="5"/>
    <x v="0"/>
    <n v="256.27"/>
  </r>
  <r>
    <x v="1"/>
    <x v="30"/>
    <s v=""/>
    <n v="29"/>
    <n v="0.44409999999999999"/>
    <n v="298.72000000000003"/>
    <n v="2.2200000000000002"/>
    <n v="4.92"/>
    <s v="above average"/>
    <s v="lag"/>
    <s v="opportunity"/>
    <n v="4"/>
    <n v="5"/>
    <x v="0"/>
    <n v="298.72000000000003"/>
  </r>
  <r>
    <x v="1"/>
    <x v="31"/>
    <s v=""/>
    <n v="68"/>
    <n v="0.44209999999999999"/>
    <n v="338.1"/>
    <n v="2.37"/>
    <n v="4.92"/>
    <s v="above average"/>
    <s v="lag"/>
    <s v="opportunity"/>
    <n v="4"/>
    <n v="5"/>
    <x v="0"/>
    <n v="338.1"/>
  </r>
  <r>
    <x v="1"/>
    <x v="32"/>
    <s v=""/>
    <n v="46"/>
    <n v="0.43719999999999998"/>
    <n v="375.86"/>
    <n v="2.17"/>
    <n v="4.9000000000000004"/>
    <s v="above average"/>
    <s v="premium"/>
    <s v="high demand"/>
    <n v="4"/>
    <n v="3"/>
    <x v="1"/>
    <n v="375.86"/>
  </r>
  <r>
    <x v="1"/>
    <x v="33"/>
    <s v=""/>
    <n v="182"/>
    <n v="0.4335"/>
    <n v="324.93"/>
    <n v="1.96"/>
    <n v="4.8099999999999996"/>
    <s v="above average"/>
    <s v="lag"/>
    <s v="opportunity"/>
    <n v="4"/>
    <n v="5"/>
    <x v="0"/>
    <n v="324.93"/>
  </r>
  <r>
    <x v="1"/>
    <x v="34"/>
    <s v=""/>
    <n v="34"/>
    <n v="0.42659999999999998"/>
    <n v="226.25"/>
    <n v="2.21"/>
    <n v="4.8899999999999997"/>
    <s v="above average"/>
    <s v="lag"/>
    <s v="opportunity"/>
    <n v="4"/>
    <n v="5"/>
    <x v="0"/>
    <n v="226.25"/>
  </r>
  <r>
    <x v="1"/>
    <x v="35"/>
    <s v=""/>
    <n v="12"/>
    <n v="0.42049999999999998"/>
    <n v="262.76"/>
    <n v="1.86"/>
    <n v="4.4800000000000004"/>
    <s v="above average"/>
    <s v="lag"/>
    <s v="opportunity"/>
    <n v="4"/>
    <n v="5"/>
    <x v="0"/>
    <n v="262.76"/>
  </r>
  <r>
    <x v="1"/>
    <x v="36"/>
    <s v=""/>
    <n v="24"/>
    <n v="0.42"/>
    <n v="320.39999999999998"/>
    <n v="1.78"/>
    <n v="4.83"/>
    <s v="above average"/>
    <s v="lag"/>
    <s v="opportunity"/>
    <n v="4"/>
    <n v="5"/>
    <x v="0"/>
    <n v="320.39999999999998"/>
  </r>
  <r>
    <x v="1"/>
    <x v="37"/>
    <s v=""/>
    <n v="126"/>
    <n v="0.41470000000000001"/>
    <n v="325.83"/>
    <n v="2.2400000000000002"/>
    <n v="4.92"/>
    <s v="above average"/>
    <s v="lag"/>
    <s v="opportunity"/>
    <n v="4"/>
    <n v="5"/>
    <x v="0"/>
    <n v="325.83"/>
  </r>
  <r>
    <x v="1"/>
    <x v="38"/>
    <s v=""/>
    <n v="12"/>
    <n v="0.41439999999999999"/>
    <n v="212.92"/>
    <n v="2.31"/>
    <n v="4.7699999999999996"/>
    <s v="above average"/>
    <s v="lag"/>
    <s v="opportunity"/>
    <n v="4"/>
    <n v="5"/>
    <x v="0"/>
    <n v="212.92"/>
  </r>
  <r>
    <x v="1"/>
    <x v="39"/>
    <s v=""/>
    <n v="24"/>
    <n v="0.3881"/>
    <n v="310.33999999999997"/>
    <n v="2.57"/>
    <n v="4.8600000000000003"/>
    <s v="above average"/>
    <s v="lag"/>
    <s v="opportunity"/>
    <n v="3"/>
    <n v="5"/>
    <x v="0"/>
    <n v="310.33999999999997"/>
  </r>
  <r>
    <x v="1"/>
    <x v="40"/>
    <s v=""/>
    <n v="250"/>
    <n v="0.3775"/>
    <n v="384.04"/>
    <n v="2.06"/>
    <n v="4.8"/>
    <s v="above average"/>
    <s v="premium"/>
    <s v="high demand"/>
    <n v="3"/>
    <n v="3"/>
    <x v="1"/>
    <n v="384.04"/>
  </r>
  <r>
    <x v="1"/>
    <x v="41"/>
    <s v=""/>
    <n v="68"/>
    <n v="0.37109999999999999"/>
    <n v="270.92"/>
    <n v="2.2999999999999998"/>
    <n v="4.8600000000000003"/>
    <s v="above average"/>
    <s v="lag"/>
    <s v="opportunity"/>
    <n v="3"/>
    <n v="5"/>
    <x v="0"/>
    <n v="270.92"/>
  </r>
  <r>
    <x v="1"/>
    <x v="42"/>
    <s v=""/>
    <n v="26"/>
    <n v="0.37069999999999997"/>
    <n v="718.56"/>
    <n v="2.11"/>
    <n v="4.8899999999999997"/>
    <s v="above average"/>
    <s v="premium"/>
    <s v="high demand"/>
    <n v="3"/>
    <n v="3"/>
    <x v="1"/>
    <n v="718.56"/>
  </r>
  <r>
    <x v="1"/>
    <x v="43"/>
    <s v=""/>
    <n v="184"/>
    <n v="0.36849999999999999"/>
    <n v="439.19"/>
    <n v="2.46"/>
    <n v="4.8"/>
    <s v="above average"/>
    <s v="premium"/>
    <s v="high demand"/>
    <n v="3"/>
    <n v="3"/>
    <x v="1"/>
    <n v="439.19"/>
  </r>
  <r>
    <x v="1"/>
    <x v="44"/>
    <s v=""/>
    <n v="59"/>
    <n v="0.36549999999999999"/>
    <n v="380.07"/>
    <n v="2.2200000000000002"/>
    <n v="4.87"/>
    <s v="above average"/>
    <s v="premium"/>
    <s v="high demand"/>
    <n v="3"/>
    <n v="3"/>
    <x v="1"/>
    <n v="380.07"/>
  </r>
  <r>
    <x v="1"/>
    <x v="45"/>
    <s v=""/>
    <n v="14"/>
    <n v="0.3624"/>
    <n v="281.27999999999997"/>
    <n v="1.9"/>
    <n v="4.8899999999999997"/>
    <s v="above average"/>
    <s v="lag"/>
    <s v="opportunity"/>
    <n v="3"/>
    <n v="5"/>
    <x v="0"/>
    <n v="281.27999999999997"/>
  </r>
  <r>
    <x v="1"/>
    <x v="46"/>
    <s v=""/>
    <n v="330"/>
    <n v="0.34029999999999999"/>
    <n v="436.35"/>
    <n v="2.0299999999999998"/>
    <n v="4.76"/>
    <s v="above average"/>
    <s v="premium"/>
    <s v="high demand"/>
    <n v="3"/>
    <n v="3"/>
    <x v="1"/>
    <n v="436.35"/>
  </r>
  <r>
    <x v="1"/>
    <x v="47"/>
    <s v=""/>
    <n v="227"/>
    <n v="0.30230000000000001"/>
    <n v="282.63"/>
    <n v="2.36"/>
    <n v="4.7699999999999996"/>
    <s v="below average"/>
    <s v="lag"/>
    <s v="low demand"/>
    <n v="3"/>
    <n v="2"/>
    <x v="3"/>
    <n v="282.63"/>
  </r>
  <r>
    <x v="1"/>
    <x v="48"/>
    <s v=""/>
    <n v="34"/>
    <n v="0.29899999999999999"/>
    <n v="465.75"/>
    <n v="2.82"/>
    <n v="4.8600000000000003"/>
    <s v="below average"/>
    <s v="premium"/>
    <s v="overpriced"/>
    <n v="2"/>
    <n v="1"/>
    <x v="2"/>
    <n v="465.75"/>
  </r>
  <r>
    <x v="1"/>
    <x v="49"/>
    <s v=""/>
    <n v="125"/>
    <n v="0.28539999999999999"/>
    <n v="293.99"/>
    <n v="3.44"/>
    <n v="4.74"/>
    <s v="below average"/>
    <s v="lag"/>
    <s v="low demand"/>
    <n v="2"/>
    <n v="2"/>
    <x v="3"/>
    <n v="293.99"/>
  </r>
  <r>
    <x v="1"/>
    <x v="50"/>
    <s v=""/>
    <n v="187"/>
    <n v="0.2707"/>
    <n v="306.26"/>
    <n v="1.58"/>
    <n v="4.66"/>
    <s v="below average"/>
    <s v="lag"/>
    <s v="low demand"/>
    <n v="2"/>
    <n v="2"/>
    <x v="3"/>
    <n v="306.26"/>
  </r>
  <r>
    <x v="1"/>
    <x v="51"/>
    <s v=""/>
    <n v="126"/>
    <n v="0.25530000000000003"/>
    <n v="367.09"/>
    <n v="2.2599999999999998"/>
    <n v="4.83"/>
    <s v="below average"/>
    <s v="premium"/>
    <s v="overpriced"/>
    <n v="2"/>
    <n v="1"/>
    <x v="2"/>
    <n v="367.09"/>
  </r>
  <r>
    <x v="1"/>
    <x v="52"/>
    <s v=""/>
    <n v="18"/>
    <n v="0.25119999999999998"/>
    <n v="432.2"/>
    <n v="1.24"/>
    <n v="4.8499999999999996"/>
    <s v="below average"/>
    <s v="premium"/>
    <s v="overpriced"/>
    <n v="2"/>
    <n v="1"/>
    <x v="2"/>
    <n v="432.2"/>
  </r>
  <r>
    <x v="1"/>
    <x v="53"/>
    <s v=""/>
    <n v="1034"/>
    <n v="0.22889999999999999"/>
    <n v="377.23"/>
    <n v="1.87"/>
    <n v="4.71"/>
    <s v="below average"/>
    <s v="premium"/>
    <s v="overpriced"/>
    <n v="2"/>
    <n v="1"/>
    <x v="2"/>
    <n v="377.23"/>
  </r>
  <r>
    <x v="2"/>
    <x v="54"/>
    <s v="Manhattan"/>
    <n v="32"/>
    <n v="0.68110000000000004"/>
    <n v="236.45"/>
    <n v="2.69"/>
    <n v="4.62"/>
    <s v="above average"/>
    <s v="lag"/>
    <s v="opportunity"/>
    <n v="5"/>
    <n v="5"/>
    <x v="0"/>
    <n v="236.45"/>
  </r>
  <r>
    <x v="2"/>
    <x v="55"/>
    <s v="Manhattan"/>
    <n v="22"/>
    <n v="0.64610000000000001"/>
    <n v="585.47"/>
    <n v="1.57"/>
    <n v="4.7"/>
    <s v="above average"/>
    <s v="premium"/>
    <s v="high demand"/>
    <n v="5"/>
    <n v="3"/>
    <x v="1"/>
    <n v="585.47"/>
  </r>
  <r>
    <x v="2"/>
    <x v="56"/>
    <s v="Brooklyn"/>
    <n v="14"/>
    <n v="0.61150000000000004"/>
    <n v="326.24"/>
    <n v="3.57"/>
    <n v="4.91"/>
    <s v="above average"/>
    <s v="lag"/>
    <s v="opportunity"/>
    <n v="5"/>
    <n v="5"/>
    <x v="0"/>
    <n v="326.24"/>
  </r>
  <r>
    <x v="2"/>
    <x v="57"/>
    <s v="Brooklyn"/>
    <n v="14"/>
    <n v="0.60270000000000001"/>
    <n v="343.27"/>
    <n v="1.94"/>
    <n v="4.91"/>
    <s v="above average"/>
    <s v="lag"/>
    <s v="opportunity"/>
    <n v="5"/>
    <n v="5"/>
    <x v="0"/>
    <n v="343.27"/>
  </r>
  <r>
    <x v="2"/>
    <x v="58"/>
    <s v="Brooklyn"/>
    <n v="13"/>
    <n v="0.57010000000000005"/>
    <n v="382.06"/>
    <n v="3.27"/>
    <n v="4.95"/>
    <s v="above average"/>
    <s v="premium"/>
    <s v="high demand"/>
    <n v="5"/>
    <n v="3"/>
    <x v="1"/>
    <n v="382.06"/>
  </r>
  <r>
    <x v="2"/>
    <x v="59"/>
    <s v="Queens"/>
    <n v="11"/>
    <n v="0.56859999999999999"/>
    <n v="197.86"/>
    <n v="3.47"/>
    <n v="4.79"/>
    <s v="above average"/>
    <s v="lag"/>
    <s v="opportunity"/>
    <n v="5"/>
    <n v="5"/>
    <x v="0"/>
    <n v="197.86"/>
  </r>
  <r>
    <x v="2"/>
    <x v="60"/>
    <s v="Manhattan"/>
    <n v="12"/>
    <n v="0.56689999999999996"/>
    <n v="313.16000000000003"/>
    <n v="1.55"/>
    <n v="4.7300000000000004"/>
    <s v="above average"/>
    <s v="lag"/>
    <s v="opportunity"/>
    <n v="5"/>
    <n v="5"/>
    <x v="0"/>
    <n v="313.16000000000003"/>
  </r>
  <r>
    <x v="2"/>
    <x v="61"/>
    <s v="Manhattan"/>
    <n v="38"/>
    <n v="0.56679999999999997"/>
    <n v="360.52"/>
    <n v="3.08"/>
    <n v="4.79"/>
    <s v="above average"/>
    <s v="premium"/>
    <s v="high demand"/>
    <n v="5"/>
    <n v="3"/>
    <x v="1"/>
    <n v="360.52"/>
  </r>
  <r>
    <x v="2"/>
    <x v="62"/>
    <s v="Brooklyn"/>
    <n v="10"/>
    <n v="0.55889999999999995"/>
    <n v="332.34"/>
    <n v="2.97"/>
    <n v="4.93"/>
    <s v="above average"/>
    <s v="lag"/>
    <s v="opportunity"/>
    <n v="5"/>
    <n v="5"/>
    <x v="0"/>
    <n v="332.34"/>
  </r>
  <r>
    <x v="2"/>
    <x v="63"/>
    <s v="Manhattan"/>
    <n v="44"/>
    <n v="0.53849999999999998"/>
    <n v="613.5"/>
    <n v="2.58"/>
    <n v="4.71"/>
    <s v="above average"/>
    <s v="premium"/>
    <s v="high demand"/>
    <n v="5"/>
    <n v="3"/>
    <x v="1"/>
    <n v="613.5"/>
  </r>
  <r>
    <x v="2"/>
    <x v="64"/>
    <s v="Queens"/>
    <n v="26"/>
    <n v="0.53669999999999995"/>
    <n v="270.29000000000002"/>
    <n v="2.4900000000000002"/>
    <n v="4.8"/>
    <s v="above average"/>
    <s v="lag"/>
    <s v="opportunity"/>
    <n v="5"/>
    <n v="5"/>
    <x v="0"/>
    <n v="270.29000000000002"/>
  </r>
  <r>
    <x v="2"/>
    <x v="65"/>
    <s v="Manhattan"/>
    <n v="25"/>
    <n v="0.52380000000000004"/>
    <n v="432.51"/>
    <n v="1.42"/>
    <n v="4.7300000000000004"/>
    <s v="above average"/>
    <s v="premium"/>
    <s v="high demand"/>
    <n v="5"/>
    <n v="3"/>
    <x v="1"/>
    <n v="432.51"/>
  </r>
  <r>
    <x v="2"/>
    <x v="66"/>
    <s v="Brooklyn"/>
    <n v="15"/>
    <n v="0.52159999999999995"/>
    <n v="369.37"/>
    <n v="3.94"/>
    <n v="4.79"/>
    <s v="above average"/>
    <s v="premium"/>
    <s v="high demand"/>
    <n v="5"/>
    <n v="3"/>
    <x v="1"/>
    <n v="369.37"/>
  </r>
  <r>
    <x v="2"/>
    <x v="67"/>
    <s v="Brooklyn"/>
    <n v="27"/>
    <n v="0.51749999999999996"/>
    <n v="339.58"/>
    <n v="2.79"/>
    <n v="4.91"/>
    <s v="above average"/>
    <s v="lag"/>
    <s v="opportunity"/>
    <n v="5"/>
    <n v="5"/>
    <x v="0"/>
    <n v="339.58"/>
  </r>
  <r>
    <x v="2"/>
    <x v="68"/>
    <s v="Manhattan"/>
    <n v="22"/>
    <n v="0.5151"/>
    <n v="603.16999999999996"/>
    <n v="3.49"/>
    <n v="4.67"/>
    <s v="above average"/>
    <s v="premium"/>
    <s v="high demand"/>
    <n v="5"/>
    <n v="3"/>
    <x v="1"/>
    <n v="603.16999999999996"/>
  </r>
  <r>
    <x v="2"/>
    <x v="69"/>
    <s v="Manhattan"/>
    <n v="61"/>
    <n v="0.5131"/>
    <n v="514.30999999999995"/>
    <n v="2"/>
    <n v="4.58"/>
    <s v="above average"/>
    <s v="premium"/>
    <s v="high demand"/>
    <n v="5"/>
    <n v="3"/>
    <x v="1"/>
    <n v="514.30999999999995"/>
  </r>
  <r>
    <x v="2"/>
    <x v="70"/>
    <s v="Brooklyn"/>
    <n v="56"/>
    <n v="0.49199999999999999"/>
    <n v="396.03"/>
    <n v="1.1499999999999999"/>
    <n v="4.83"/>
    <s v="above average"/>
    <s v="premium"/>
    <s v="high demand"/>
    <n v="4"/>
    <n v="3"/>
    <x v="1"/>
    <n v="396.03"/>
  </r>
  <r>
    <x v="2"/>
    <x v="71"/>
    <s v="Brooklyn"/>
    <n v="18"/>
    <n v="0.49030000000000001"/>
    <n v="277.18"/>
    <n v="2.73"/>
    <n v="4.8099999999999996"/>
    <s v="above average"/>
    <s v="lag"/>
    <s v="opportunity"/>
    <n v="4"/>
    <n v="5"/>
    <x v="0"/>
    <n v="277.18"/>
  </r>
  <r>
    <x v="2"/>
    <x v="72"/>
    <s v="Queens"/>
    <n v="10"/>
    <n v="0.48470000000000002"/>
    <n v="291.05"/>
    <n v="1.99"/>
    <n v="4.88"/>
    <s v="above average"/>
    <s v="lag"/>
    <s v="opportunity"/>
    <n v="4"/>
    <n v="5"/>
    <x v="0"/>
    <n v="291.05"/>
  </r>
  <r>
    <x v="2"/>
    <x v="73"/>
    <s v="Brooklyn"/>
    <n v="110"/>
    <n v="0.48449999999999999"/>
    <n v="294.89"/>
    <n v="2.52"/>
    <n v="4.83"/>
    <s v="above average"/>
    <s v="lag"/>
    <s v="opportunity"/>
    <n v="4"/>
    <n v="5"/>
    <x v="0"/>
    <n v="294.89"/>
  </r>
  <r>
    <x v="2"/>
    <x v="74"/>
    <s v="Brooklyn"/>
    <n v="29"/>
    <n v="0.4834"/>
    <n v="259.69"/>
    <n v="2.42"/>
    <n v="4.82"/>
    <s v="above average"/>
    <s v="lag"/>
    <s v="opportunity"/>
    <n v="4"/>
    <n v="5"/>
    <x v="0"/>
    <n v="259.69"/>
  </r>
  <r>
    <x v="2"/>
    <x v="75"/>
    <s v="Queens"/>
    <n v="22"/>
    <n v="0.47560000000000002"/>
    <n v="275.83"/>
    <n v="2.54"/>
    <n v="4.91"/>
    <s v="above average"/>
    <s v="lag"/>
    <s v="opportunity"/>
    <n v="4"/>
    <n v="5"/>
    <x v="0"/>
    <n v="275.83"/>
  </r>
  <r>
    <x v="2"/>
    <x v="76"/>
    <s v="Bronx"/>
    <n v="11"/>
    <n v="0.47549999999999998"/>
    <n v="141.22999999999999"/>
    <n v="3.17"/>
    <n v="4.83"/>
    <s v="above average"/>
    <s v="lag"/>
    <s v="opportunity"/>
    <n v="4"/>
    <n v="5"/>
    <x v="0"/>
    <n v="141.22999999999999"/>
  </r>
  <r>
    <x v="2"/>
    <x v="77"/>
    <s v="Manhattan"/>
    <n v="20"/>
    <n v="0.47149999999999997"/>
    <n v="352.41"/>
    <n v="3.02"/>
    <n v="4.63"/>
    <s v="above average"/>
    <s v="premium"/>
    <s v="high demand"/>
    <n v="4"/>
    <n v="3"/>
    <x v="1"/>
    <n v="352.41"/>
  </r>
  <r>
    <x v="2"/>
    <x v="78"/>
    <s v="Brooklyn"/>
    <n v="45"/>
    <n v="0.46939999999999998"/>
    <n v="221.54"/>
    <n v="3.43"/>
    <n v="4.8099999999999996"/>
    <s v="above average"/>
    <s v="lag"/>
    <s v="opportunity"/>
    <n v="4"/>
    <n v="5"/>
    <x v="0"/>
    <n v="221.54"/>
  </r>
  <r>
    <x v="2"/>
    <x v="79"/>
    <s v="Brooklyn"/>
    <n v="276"/>
    <n v="0.46860000000000002"/>
    <n v="272.64999999999998"/>
    <n v="2.9"/>
    <n v="4.84"/>
    <s v="above average"/>
    <s v="lag"/>
    <s v="opportunity"/>
    <n v="4"/>
    <n v="5"/>
    <x v="0"/>
    <n v="272.64999999999998"/>
  </r>
  <r>
    <x v="2"/>
    <x v="80"/>
    <s v="Manhattan"/>
    <n v="85"/>
    <n v="0.46560000000000001"/>
    <n v="549.72"/>
    <n v="1.92"/>
    <n v="4.6500000000000004"/>
    <s v="above average"/>
    <s v="premium"/>
    <s v="high demand"/>
    <n v="4"/>
    <n v="3"/>
    <x v="1"/>
    <n v="549.72"/>
  </r>
  <r>
    <x v="2"/>
    <x v="81"/>
    <s v="Brooklyn"/>
    <n v="137"/>
    <n v="0.45669999999999999"/>
    <n v="365.89"/>
    <n v="2.37"/>
    <n v="4.82"/>
    <s v="above average"/>
    <s v="premium"/>
    <s v="high demand"/>
    <n v="4"/>
    <n v="3"/>
    <x v="1"/>
    <n v="365.89"/>
  </r>
  <r>
    <x v="2"/>
    <x v="82"/>
    <s v="Manhattan"/>
    <n v="29"/>
    <n v="0.45469999999999999"/>
    <n v="298.97000000000003"/>
    <n v="3.23"/>
    <n v="4.54"/>
    <s v="above average"/>
    <s v="lag"/>
    <s v="opportunity"/>
    <n v="4"/>
    <n v="5"/>
    <x v="0"/>
    <n v="298.97000000000003"/>
  </r>
  <r>
    <x v="2"/>
    <x v="83"/>
    <s v="Queens"/>
    <n v="11"/>
    <n v="0.4541"/>
    <n v="203.01"/>
    <n v="2.69"/>
    <n v="4.91"/>
    <s v="above average"/>
    <s v="lag"/>
    <s v="opportunity"/>
    <n v="4"/>
    <n v="5"/>
    <x v="0"/>
    <n v="203.01"/>
  </r>
  <r>
    <x v="2"/>
    <x v="84"/>
    <s v="Manhattan"/>
    <n v="62"/>
    <n v="0.44879999999999998"/>
    <n v="303.13"/>
    <n v="3.08"/>
    <n v="4.6399999999999997"/>
    <s v="above average"/>
    <s v="lag"/>
    <s v="opportunity"/>
    <n v="4"/>
    <n v="5"/>
    <x v="0"/>
    <n v="303.13"/>
  </r>
  <r>
    <x v="2"/>
    <x v="85"/>
    <s v="Manhattan"/>
    <n v="97"/>
    <n v="0.43120000000000003"/>
    <n v="486.68"/>
    <n v="2.86"/>
    <n v="4.6900000000000004"/>
    <s v="above average"/>
    <s v="premium"/>
    <s v="high demand"/>
    <n v="4"/>
    <n v="3"/>
    <x v="1"/>
    <n v="486.68"/>
  </r>
  <r>
    <x v="2"/>
    <x v="86"/>
    <s v="Brooklyn"/>
    <n v="111"/>
    <n v="0.42880000000000001"/>
    <n v="233.28"/>
    <n v="3.22"/>
    <n v="4.8499999999999996"/>
    <s v="above average"/>
    <s v="lag"/>
    <s v="opportunity"/>
    <n v="4"/>
    <n v="5"/>
    <x v="0"/>
    <n v="233.28"/>
  </r>
  <r>
    <x v="2"/>
    <x v="87"/>
    <s v="Queens"/>
    <n v="55"/>
    <n v="0.42820000000000003"/>
    <n v="759.8"/>
    <n v="3.11"/>
    <n v="4.67"/>
    <s v="above average"/>
    <s v="premium"/>
    <s v="high demand"/>
    <n v="4"/>
    <n v="3"/>
    <x v="1"/>
    <n v="759.8"/>
  </r>
  <r>
    <x v="2"/>
    <x v="88"/>
    <s v="Manhattan"/>
    <n v="197"/>
    <n v="0.4249"/>
    <n v="411.62"/>
    <n v="2.0699999999999998"/>
    <n v="4.8"/>
    <s v="above average"/>
    <s v="premium"/>
    <s v="high demand"/>
    <n v="4"/>
    <n v="3"/>
    <x v="1"/>
    <n v="411.62"/>
  </r>
  <r>
    <x v="2"/>
    <x v="89"/>
    <s v="Queens"/>
    <n v="11"/>
    <n v="0.4224"/>
    <n v="226.74"/>
    <n v="2.2799999999999998"/>
    <n v="4.71"/>
    <s v="above average"/>
    <s v="lag"/>
    <s v="opportunity"/>
    <n v="4"/>
    <n v="5"/>
    <x v="0"/>
    <n v="226.74"/>
  </r>
  <r>
    <x v="2"/>
    <x v="90"/>
    <s v="Manhattan"/>
    <n v="46"/>
    <n v="0.4224"/>
    <n v="307.36"/>
    <n v="2.27"/>
    <n v="4.78"/>
    <s v="above average"/>
    <s v="lag"/>
    <s v="opportunity"/>
    <n v="4"/>
    <n v="5"/>
    <x v="0"/>
    <n v="307.36"/>
  </r>
  <r>
    <x v="2"/>
    <x v="91"/>
    <s v="Queens"/>
    <n v="23"/>
    <n v="0.41820000000000002"/>
    <n v="216.69"/>
    <n v="3.32"/>
    <n v="4.8600000000000003"/>
    <s v="above average"/>
    <s v="lag"/>
    <s v="opportunity"/>
    <n v="4"/>
    <n v="5"/>
    <x v="0"/>
    <n v="216.69"/>
  </r>
  <r>
    <x v="2"/>
    <x v="92"/>
    <s v="Brooklyn"/>
    <n v="48"/>
    <n v="0.41649999999999998"/>
    <n v="241.68"/>
    <n v="2.02"/>
    <n v="4.84"/>
    <s v="above average"/>
    <s v="lag"/>
    <s v="opportunity"/>
    <n v="4"/>
    <n v="5"/>
    <x v="0"/>
    <n v="241.68"/>
  </r>
  <r>
    <x v="2"/>
    <x v="93"/>
    <s v="Brooklyn"/>
    <n v="30"/>
    <n v="0.41639999999999999"/>
    <n v="293.01"/>
    <n v="2.85"/>
    <n v="4.8499999999999996"/>
    <s v="above average"/>
    <s v="lag"/>
    <s v="opportunity"/>
    <n v="4"/>
    <n v="5"/>
    <x v="0"/>
    <n v="293.01"/>
  </r>
  <r>
    <x v="2"/>
    <x v="94"/>
    <s v="Manhattan"/>
    <n v="121"/>
    <n v="0.41339999999999999"/>
    <n v="295.86"/>
    <n v="3.87"/>
    <n v="4.51"/>
    <s v="above average"/>
    <s v="lag"/>
    <s v="opportunity"/>
    <n v="4"/>
    <n v="5"/>
    <x v="0"/>
    <n v="295.86"/>
  </r>
  <r>
    <x v="2"/>
    <x v="95"/>
    <s v="Queens"/>
    <n v="23"/>
    <n v="0.4133"/>
    <n v="185.29"/>
    <n v="2.73"/>
    <n v="4.8099999999999996"/>
    <s v="above average"/>
    <s v="lag"/>
    <s v="opportunity"/>
    <n v="4"/>
    <n v="5"/>
    <x v="0"/>
    <n v="185.29"/>
  </r>
  <r>
    <x v="2"/>
    <x v="96"/>
    <s v="Queens"/>
    <n v="59"/>
    <n v="0.40910000000000002"/>
    <n v="152.99"/>
    <n v="2.77"/>
    <n v="4.74"/>
    <s v="below average"/>
    <s v="lag"/>
    <s v="low demand"/>
    <n v="4"/>
    <n v="2"/>
    <x v="3"/>
    <n v="152.99"/>
  </r>
  <r>
    <x v="2"/>
    <x v="97"/>
    <s v="Manhattan"/>
    <n v="111"/>
    <n v="0.40400000000000003"/>
    <n v="542.67999999999995"/>
    <n v="3.54"/>
    <n v="4.75"/>
    <s v="below average"/>
    <s v="premium"/>
    <s v="overpriced"/>
    <n v="4"/>
    <n v="1"/>
    <x v="2"/>
    <n v="542.67999999999995"/>
  </r>
  <r>
    <x v="2"/>
    <x v="98"/>
    <s v="Manhattan"/>
    <n v="185"/>
    <n v="0.4022"/>
    <n v="457.3"/>
    <n v="3.7"/>
    <n v="4.6100000000000003"/>
    <s v="below average"/>
    <s v="premium"/>
    <s v="overpriced"/>
    <n v="4"/>
    <n v="1"/>
    <x v="2"/>
    <n v="457.3"/>
  </r>
  <r>
    <x v="2"/>
    <x v="99"/>
    <s v="Brooklyn"/>
    <n v="61"/>
    <n v="0.3947"/>
    <n v="252.62"/>
    <n v="2.89"/>
    <n v="4.8"/>
    <s v="below average"/>
    <s v="lag"/>
    <s v="low demand"/>
    <n v="3"/>
    <n v="2"/>
    <x v="3"/>
    <n v="252.62"/>
  </r>
  <r>
    <x v="2"/>
    <x v="100"/>
    <s v="Queens"/>
    <n v="25"/>
    <n v="0.3916"/>
    <n v="216.29"/>
    <n v="2.13"/>
    <n v="4.91"/>
    <s v="below average"/>
    <s v="lag"/>
    <s v="low demand"/>
    <n v="3"/>
    <n v="2"/>
    <x v="3"/>
    <n v="216.29"/>
  </r>
  <r>
    <x v="2"/>
    <x v="101"/>
    <s v="Queens"/>
    <n v="12"/>
    <n v="0.39129999999999998"/>
    <n v="177.21"/>
    <n v="3.74"/>
    <n v="4.92"/>
    <s v="below average"/>
    <s v="lag"/>
    <s v="low demand"/>
    <n v="3"/>
    <n v="2"/>
    <x v="3"/>
    <n v="177.21"/>
  </r>
  <r>
    <x v="2"/>
    <x v="102"/>
    <s v="Queens"/>
    <n v="52"/>
    <n v="0.39040000000000002"/>
    <n v="286.44"/>
    <n v="2.95"/>
    <n v="4.8"/>
    <s v="below average"/>
    <s v="lag"/>
    <s v="low demand"/>
    <n v="3"/>
    <n v="2"/>
    <x v="3"/>
    <n v="286.44"/>
  </r>
  <r>
    <x v="2"/>
    <x v="103"/>
    <s v="Brooklyn"/>
    <n v="25"/>
    <n v="0.38929999999999998"/>
    <n v="288.38"/>
    <n v="2.4"/>
    <n v="4.8"/>
    <s v="below average"/>
    <s v="lag"/>
    <s v="low demand"/>
    <n v="3"/>
    <n v="2"/>
    <x v="3"/>
    <n v="288.38"/>
  </r>
  <r>
    <x v="2"/>
    <x v="104"/>
    <s v="Queens"/>
    <n v="13"/>
    <n v="0.38379999999999997"/>
    <n v="140.47"/>
    <n v="2.75"/>
    <n v="4.88"/>
    <s v="below average"/>
    <s v="lag"/>
    <s v="low demand"/>
    <n v="3"/>
    <n v="2"/>
    <x v="3"/>
    <n v="140.47"/>
  </r>
  <r>
    <x v="2"/>
    <x v="105"/>
    <s v="Manhattan"/>
    <n v="591"/>
    <n v="0.38240000000000002"/>
    <n v="447.48"/>
    <n v="1.91"/>
    <n v="4.58"/>
    <s v="below average"/>
    <s v="premium"/>
    <s v="overpriced"/>
    <n v="3"/>
    <n v="1"/>
    <x v="2"/>
    <n v="447.48"/>
  </r>
  <r>
    <x v="2"/>
    <x v="106"/>
    <s v="Brooklyn"/>
    <n v="94"/>
    <n v="0.376"/>
    <n v="271.08"/>
    <n v="2.2200000000000002"/>
    <n v="4.8600000000000003"/>
    <s v="below average"/>
    <s v="lag"/>
    <s v="low demand"/>
    <n v="3"/>
    <n v="2"/>
    <x v="3"/>
    <n v="271.08"/>
  </r>
  <r>
    <x v="2"/>
    <x v="107"/>
    <s v="Queens"/>
    <n v="41"/>
    <n v="0.37409999999999999"/>
    <n v="187.41"/>
    <n v="3.13"/>
    <n v="4.72"/>
    <s v="below average"/>
    <s v="lag"/>
    <s v="low demand"/>
    <n v="3"/>
    <n v="2"/>
    <x v="3"/>
    <n v="187.41"/>
  </r>
  <r>
    <x v="2"/>
    <x v="108"/>
    <s v="Queens"/>
    <n v="14"/>
    <n v="0.36730000000000002"/>
    <n v="244.44"/>
    <n v="2.92"/>
    <n v="4.74"/>
    <s v="below average"/>
    <s v="lag"/>
    <s v="low demand"/>
    <n v="3"/>
    <n v="2"/>
    <x v="3"/>
    <n v="244.44"/>
  </r>
  <r>
    <x v="2"/>
    <x v="109"/>
    <s v="Manhattan"/>
    <n v="34"/>
    <n v="0.34899999999999998"/>
    <n v="605.84"/>
    <n v="3.07"/>
    <n v="4.72"/>
    <s v="below average"/>
    <s v="premium"/>
    <s v="overpriced"/>
    <n v="3"/>
    <n v="1"/>
    <x v="2"/>
    <n v="605.84"/>
  </r>
  <r>
    <x v="2"/>
    <x v="110"/>
    <s v="Manhattan"/>
    <n v="129"/>
    <n v="0.34210000000000002"/>
    <n v="414.11"/>
    <n v="3.44"/>
    <n v="4.37"/>
    <s v="below average"/>
    <s v="premium"/>
    <s v="overpriced"/>
    <n v="3"/>
    <n v="1"/>
    <x v="2"/>
    <n v="414.11"/>
  </r>
  <r>
    <x v="2"/>
    <x v="111"/>
    <s v="Queens"/>
    <n v="57"/>
    <n v="0.33679999999999999"/>
    <n v="188.98"/>
    <n v="3.39"/>
    <n v="4.79"/>
    <s v="below average"/>
    <s v="lag"/>
    <s v="low demand"/>
    <n v="3"/>
    <n v="2"/>
    <x v="3"/>
    <n v="188.98"/>
  </r>
  <r>
    <x v="2"/>
    <x v="112"/>
    <s v="Queens"/>
    <n v="19"/>
    <n v="0.32700000000000001"/>
    <n v="159.22"/>
    <n v="2.79"/>
    <n v="4.8099999999999996"/>
    <s v="below average"/>
    <s v="lag"/>
    <s v="low demand"/>
    <n v="3"/>
    <n v="2"/>
    <x v="3"/>
    <n v="159.22"/>
  </r>
  <r>
    <x v="2"/>
    <x v="113"/>
    <s v="Bronx"/>
    <n v="14"/>
    <n v="0.3039"/>
    <n v="226.33"/>
    <n v="1.82"/>
    <n v="4.78"/>
    <s v="below average"/>
    <s v="lag"/>
    <s v="low demand"/>
    <n v="3"/>
    <n v="2"/>
    <x v="3"/>
    <n v="226.33"/>
  </r>
  <r>
    <x v="2"/>
    <x v="114"/>
    <s v="Brooklyn"/>
    <n v="16"/>
    <n v="0.30380000000000001"/>
    <n v="295.13"/>
    <n v="2.52"/>
    <n v="4.8600000000000003"/>
    <s v="below average"/>
    <s v="lag"/>
    <s v="low demand"/>
    <n v="3"/>
    <n v="2"/>
    <x v="3"/>
    <n v="295.13"/>
  </r>
  <r>
    <x v="2"/>
    <x v="115"/>
    <s v="Queens"/>
    <n v="11"/>
    <n v="0.28889999999999999"/>
    <n v="130.25"/>
    <n v="1.94"/>
    <n v="4.79"/>
    <s v="below average"/>
    <s v="lag"/>
    <s v="low demand"/>
    <n v="2"/>
    <n v="2"/>
    <x v="3"/>
    <n v="130.25"/>
  </r>
  <r>
    <x v="2"/>
    <x v="116"/>
    <s v="Queens"/>
    <n v="27"/>
    <n v="0.2888"/>
    <n v="247.65"/>
    <n v="2.29"/>
    <n v="4.8899999999999997"/>
    <s v="below average"/>
    <s v="lag"/>
    <s v="low demand"/>
    <n v="2"/>
    <n v="2"/>
    <x v="3"/>
    <n v="247.65"/>
  </r>
  <r>
    <x v="2"/>
    <x v="117"/>
    <s v="Queens"/>
    <n v="37"/>
    <n v="0.28799999999999998"/>
    <n v="240.47"/>
    <n v="2.72"/>
    <n v="4.8"/>
    <s v="below average"/>
    <s v="lag"/>
    <s v="low demand"/>
    <n v="2"/>
    <n v="2"/>
    <x v="3"/>
    <n v="240.47"/>
  </r>
  <r>
    <x v="2"/>
    <x v="118"/>
    <s v="Queens"/>
    <n v="10"/>
    <n v="0.28770000000000001"/>
    <n v="193.27"/>
    <n v="1.89"/>
    <n v="4.67"/>
    <s v="below average"/>
    <s v="lag"/>
    <s v="low demand"/>
    <n v="2"/>
    <n v="2"/>
    <x v="3"/>
    <n v="193.27"/>
  </r>
  <r>
    <x v="2"/>
    <x v="119"/>
    <s v="Queens"/>
    <n v="12"/>
    <n v="0.28520000000000001"/>
    <n v="224.96"/>
    <n v="2.36"/>
    <n v="4.76"/>
    <s v="below average"/>
    <s v="lag"/>
    <s v="low demand"/>
    <n v="2"/>
    <n v="2"/>
    <x v="3"/>
    <n v="224.96"/>
  </r>
  <r>
    <x v="2"/>
    <x v="120"/>
    <s v="Brooklyn"/>
    <n v="64"/>
    <n v="0.27829999999999999"/>
    <n v="239.68"/>
    <n v="2.37"/>
    <n v="4.88"/>
    <s v="below average"/>
    <s v="lag"/>
    <s v="low demand"/>
    <n v="2"/>
    <n v="2"/>
    <x v="3"/>
    <n v="239.68"/>
  </r>
  <r>
    <x v="2"/>
    <x v="121"/>
    <s v="Manhattan"/>
    <n v="11"/>
    <n v="0.26800000000000002"/>
    <n v="610.91"/>
    <n v="1.52"/>
    <n v="4.82"/>
    <s v="below average"/>
    <s v="premium"/>
    <s v="overpriced"/>
    <n v="2"/>
    <n v="1"/>
    <x v="2"/>
    <n v="610.91"/>
  </r>
  <r>
    <x v="2"/>
    <x v="122"/>
    <s v="Brooklyn"/>
    <n v="18"/>
    <n v="0.2422"/>
    <n v="185.46"/>
    <n v="3.4"/>
    <n v="4.5199999999999996"/>
    <s v="below average"/>
    <s v="lag"/>
    <s v="low demand"/>
    <n v="2"/>
    <n v="2"/>
    <x v="3"/>
    <n v="185.46"/>
  </r>
  <r>
    <x v="2"/>
    <x v="123"/>
    <s v="Brooklyn"/>
    <n v="22"/>
    <n v="0.2331"/>
    <n v="219.02"/>
    <n v="2.0499999999999998"/>
    <n v="4.7300000000000004"/>
    <s v="below average"/>
    <s v="lag"/>
    <s v="low demand"/>
    <n v="2"/>
    <n v="2"/>
    <x v="3"/>
    <n v="219.02"/>
  </r>
  <r>
    <x v="2"/>
    <x v="124"/>
    <s v="Queens"/>
    <n v="28"/>
    <n v="0.2155"/>
    <n v="241.86"/>
    <n v="3.72"/>
    <n v="4.7699999999999996"/>
    <s v="below average"/>
    <s v="lag"/>
    <s v="low demand"/>
    <n v="2"/>
    <n v="2"/>
    <x v="3"/>
    <n v="241.86"/>
  </r>
  <r>
    <x v="2"/>
    <x v="125"/>
    <s v="Brooklyn"/>
    <n v="68"/>
    <n v="0.21510000000000001"/>
    <n v="156.07"/>
    <n v="3.7"/>
    <n v="4.54"/>
    <s v="below average"/>
    <s v="lag"/>
    <s v="low demand"/>
    <n v="2"/>
    <n v="2"/>
    <x v="3"/>
    <n v="156.07"/>
  </r>
  <r>
    <x v="2"/>
    <x v="126"/>
    <s v="Queens"/>
    <n v="11"/>
    <n v="0.15870000000000001"/>
    <n v="174.48"/>
    <n v="2.61"/>
    <n v="4.8600000000000003"/>
    <s v="below average"/>
    <s v="lag"/>
    <s v="low demand"/>
    <n v="1"/>
    <n v="2"/>
    <x v="3"/>
    <n v="174.48"/>
  </r>
  <r>
    <x v="2"/>
    <x v="127"/>
    <s v="Manhattan"/>
    <n v="12"/>
    <n v="9.5899999999999999E-2"/>
    <n v="288.95999999999998"/>
    <n v="2.82"/>
    <n v="4.55"/>
    <s v="below average"/>
    <s v="lag"/>
    <s v="low demand"/>
    <n v="1"/>
    <n v="2"/>
    <x v="3"/>
    <n v="288.95999999999998"/>
  </r>
  <r>
    <x v="2"/>
    <x v="128"/>
    <s v="Bronx"/>
    <n v="17"/>
    <n v="6.0900000000000003E-2"/>
    <n v="186.54"/>
    <n v="0.85"/>
    <n v="4.04"/>
    <s v="below average"/>
    <s v="lag"/>
    <s v="low demand"/>
    <n v="1"/>
    <n v="2"/>
    <x v="3"/>
    <n v="186.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n v="265091"/>
    <n v="86.4"/>
    <x v="0"/>
    <s v="publish 4-6 weeks prior"/>
  </r>
  <r>
    <x v="0"/>
    <x v="1"/>
    <x v="1"/>
    <n v="241360"/>
    <n v="78.599999999999994"/>
    <x v="1"/>
    <s v="publish 2-4 weeks prior"/>
  </r>
  <r>
    <x v="0"/>
    <x v="2"/>
    <x v="2"/>
    <n v="268402"/>
    <n v="87.4"/>
    <x v="0"/>
    <s v="publish 4-6 weeks prior"/>
  </r>
  <r>
    <x v="0"/>
    <x v="3"/>
    <x v="3"/>
    <n v="306928"/>
    <n v="100"/>
    <x v="2"/>
    <s v="publish 6-8 weeks prior"/>
  </r>
  <r>
    <x v="0"/>
    <x v="4"/>
    <x v="4"/>
    <n v="192565"/>
    <n v="62.7"/>
    <x v="1"/>
    <s v="publish 2-4 weeks prior"/>
  </r>
  <r>
    <x v="0"/>
    <x v="5"/>
    <x v="5"/>
    <n v="184340"/>
    <n v="60.1"/>
    <x v="1"/>
    <s v="publish 2-4 weeks prior"/>
  </r>
  <r>
    <x v="0"/>
    <x v="6"/>
    <x v="6"/>
    <n v="170606"/>
    <n v="55.6"/>
    <x v="3"/>
    <s v="no push needed"/>
  </r>
  <r>
    <x v="0"/>
    <x v="7"/>
    <x v="7"/>
    <n v="160156"/>
    <n v="52.2"/>
    <x v="3"/>
    <s v="no push needed"/>
  </r>
  <r>
    <x v="0"/>
    <x v="8"/>
    <x v="8"/>
    <n v="136115"/>
    <n v="44.3"/>
    <x v="3"/>
    <s v="no push needed"/>
  </r>
  <r>
    <x v="0"/>
    <x v="9"/>
    <x v="9"/>
    <n v="202668"/>
    <n v="66"/>
    <x v="1"/>
    <s v="publish 2-4 weeks prior"/>
  </r>
  <r>
    <x v="0"/>
    <x v="10"/>
    <x v="10"/>
    <n v="188611"/>
    <n v="61.5"/>
    <x v="1"/>
    <s v="publish 2-4 weeks prior"/>
  </r>
  <r>
    <x v="0"/>
    <x v="11"/>
    <x v="11"/>
    <n v="197032"/>
    <n v="64.2"/>
    <x v="1"/>
    <s v="publish 2-4 weeks prior"/>
  </r>
  <r>
    <x v="1"/>
    <x v="0"/>
    <x v="0"/>
    <n v="87117"/>
    <n v="88.6"/>
    <x v="0"/>
    <s v="publish 4-6 weeks prior"/>
  </r>
  <r>
    <x v="1"/>
    <x v="1"/>
    <x v="1"/>
    <n v="84461"/>
    <n v="85.9"/>
    <x v="0"/>
    <s v="publish 4-6 weeks prior"/>
  </r>
  <r>
    <x v="1"/>
    <x v="2"/>
    <x v="2"/>
    <n v="98297"/>
    <n v="100"/>
    <x v="2"/>
    <s v="publish 6-8 weeks prior"/>
  </r>
  <r>
    <x v="1"/>
    <x v="3"/>
    <x v="3"/>
    <n v="82150"/>
    <n v="83.6"/>
    <x v="0"/>
    <s v="publish 4-6 weeks prior"/>
  </r>
  <r>
    <x v="1"/>
    <x v="4"/>
    <x v="4"/>
    <n v="50690"/>
    <n v="51.6"/>
    <x v="3"/>
    <s v="no push needed"/>
  </r>
  <r>
    <x v="1"/>
    <x v="5"/>
    <x v="5"/>
    <n v="35746"/>
    <n v="36.4"/>
    <x v="3"/>
    <s v="no push needed"/>
  </r>
  <r>
    <x v="1"/>
    <x v="6"/>
    <x v="6"/>
    <n v="40707"/>
    <n v="41.4"/>
    <x v="3"/>
    <s v="no push needed"/>
  </r>
  <r>
    <x v="1"/>
    <x v="7"/>
    <x v="7"/>
    <n v="35072"/>
    <n v="35.700000000000003"/>
    <x v="3"/>
    <s v="no push needed"/>
  </r>
  <r>
    <x v="1"/>
    <x v="8"/>
    <x v="8"/>
    <n v="44659"/>
    <n v="45.4"/>
    <x v="3"/>
    <s v="no push needed"/>
  </r>
  <r>
    <x v="1"/>
    <x v="9"/>
    <x v="9"/>
    <n v="60942"/>
    <n v="62"/>
    <x v="1"/>
    <s v="publish 2-4 weeks prior"/>
  </r>
  <r>
    <x v="1"/>
    <x v="10"/>
    <x v="10"/>
    <n v="58666"/>
    <n v="59.7"/>
    <x v="3"/>
    <s v="no push needed"/>
  </r>
  <r>
    <x v="1"/>
    <x v="11"/>
    <x v="11"/>
    <n v="71724"/>
    <n v="73"/>
    <x v="1"/>
    <s v="publish 2-4 weeks prior"/>
  </r>
  <r>
    <x v="2"/>
    <x v="0"/>
    <x v="0"/>
    <n v="618921"/>
    <n v="90.4"/>
    <x v="0"/>
    <s v="publish 4-6 weeks prior"/>
  </r>
  <r>
    <x v="2"/>
    <x v="1"/>
    <x v="1"/>
    <n v="579620"/>
    <n v="84.7"/>
    <x v="0"/>
    <s v="publish 4-6 weeks prior"/>
  </r>
  <r>
    <x v="2"/>
    <x v="2"/>
    <x v="2"/>
    <n v="652146"/>
    <n v="95.3"/>
    <x v="0"/>
    <s v="publish 4-6 weeks prior"/>
  </r>
  <r>
    <x v="2"/>
    <x v="3"/>
    <x v="3"/>
    <n v="684517"/>
    <n v="100"/>
    <x v="2"/>
    <s v="publish 6-8 weeks prior"/>
  </r>
  <r>
    <x v="2"/>
    <x v="4"/>
    <x v="4"/>
    <n v="661894"/>
    <n v="96.7"/>
    <x v="0"/>
    <s v="publish 4-6 weeks prior"/>
  </r>
  <r>
    <x v="2"/>
    <x v="5"/>
    <x v="5"/>
    <n v="622529"/>
    <n v="90.9"/>
    <x v="0"/>
    <s v="publish 4-6 weeks prior"/>
  </r>
  <r>
    <x v="2"/>
    <x v="6"/>
    <x v="6"/>
    <n v="622133"/>
    <n v="90.9"/>
    <x v="0"/>
    <s v="publish 4-6 weeks prior"/>
  </r>
  <r>
    <x v="2"/>
    <x v="7"/>
    <x v="7"/>
    <n v="571209"/>
    <n v="83.4"/>
    <x v="0"/>
    <s v="publish 4-6 weeks prior"/>
  </r>
  <r>
    <x v="2"/>
    <x v="8"/>
    <x v="8"/>
    <n v="537799"/>
    <n v="78.599999999999994"/>
    <x v="1"/>
    <s v="publish 2-4 weeks prior"/>
  </r>
  <r>
    <x v="2"/>
    <x v="9"/>
    <x v="9"/>
    <n v="581940"/>
    <n v="85"/>
    <x v="0"/>
    <s v="publish 4-6 weeks prior"/>
  </r>
  <r>
    <x v="2"/>
    <x v="10"/>
    <x v="10"/>
    <n v="565782"/>
    <n v="82.7"/>
    <x v="0"/>
    <s v="publish 4-6 weeks prior"/>
  </r>
  <r>
    <x v="2"/>
    <x v="11"/>
    <x v="11"/>
    <n v="581898"/>
    <n v="85"/>
    <x v="0"/>
    <s v="publish 4-6 weeks prio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x v="0"/>
    <x v="0"/>
    <x v="0"/>
    <n v="10"/>
    <x v="0"/>
    <n v="5"/>
    <n v="5"/>
    <n v="0.55800000000000005"/>
    <n v="4.96"/>
    <n v="579.75"/>
    <n v="6"/>
  </r>
  <r>
    <x v="0"/>
    <x v="1"/>
    <x v="1"/>
    <n v="3"/>
    <x v="0"/>
    <n v="5"/>
    <n v="5"/>
    <n v="0.51639999999999997"/>
    <n v="4.88"/>
    <n v="193.06"/>
    <n v="6"/>
  </r>
  <r>
    <x v="0"/>
    <x v="2"/>
    <x v="0"/>
    <n v="2"/>
    <x v="0"/>
    <n v="5"/>
    <n v="5"/>
    <n v="0.51019999999999999"/>
    <n v="4.9000000000000004"/>
    <n v="159.74"/>
    <n v="117"/>
  </r>
  <r>
    <x v="0"/>
    <x v="1"/>
    <x v="0"/>
    <n v="3"/>
    <x v="0"/>
    <n v="5"/>
    <n v="5"/>
    <n v="0.49719999999999998"/>
    <n v="4.88"/>
    <n v="218.28"/>
    <n v="15"/>
  </r>
  <r>
    <x v="0"/>
    <x v="2"/>
    <x v="1"/>
    <n v="2"/>
    <x v="0"/>
    <n v="4"/>
    <n v="5"/>
    <n v="0.48089999999999999"/>
    <n v="4.6399999999999997"/>
    <n v="111.37"/>
    <n v="17"/>
  </r>
  <r>
    <x v="0"/>
    <x v="1"/>
    <x v="1"/>
    <n v="14"/>
    <x v="0"/>
    <n v="5"/>
    <n v="5"/>
    <n v="0.47989999999999999"/>
    <n v="4.7699999999999996"/>
    <n v="543.95000000000005"/>
    <n v="6"/>
  </r>
  <r>
    <x v="0"/>
    <x v="1"/>
    <x v="0"/>
    <n v="2"/>
    <x v="0"/>
    <n v="5"/>
    <n v="5"/>
    <n v="0.4703"/>
    <n v="4.91"/>
    <n v="194.37"/>
    <n v="377"/>
  </r>
  <r>
    <x v="0"/>
    <x v="1"/>
    <x v="1"/>
    <n v="2"/>
    <x v="0"/>
    <n v="5"/>
    <n v="5"/>
    <n v="0.43980000000000002"/>
    <n v="4.8499999999999996"/>
    <n v="196.85"/>
    <n v="130"/>
  </r>
  <r>
    <x v="0"/>
    <x v="2"/>
    <x v="0"/>
    <n v="4"/>
    <x v="0"/>
    <n v="5"/>
    <n v="5"/>
    <n v="0.43759999999999999"/>
    <n v="4.9000000000000004"/>
    <n v="243.1"/>
    <n v="29"/>
  </r>
  <r>
    <x v="0"/>
    <x v="1"/>
    <x v="1"/>
    <n v="5"/>
    <x v="0"/>
    <n v="5"/>
    <n v="5"/>
    <n v="0.43419999999999997"/>
    <n v="4.79"/>
    <n v="295.75"/>
    <n v="15"/>
  </r>
  <r>
    <x v="0"/>
    <x v="1"/>
    <x v="1"/>
    <n v="2"/>
    <x v="0"/>
    <n v="4"/>
    <n v="5"/>
    <n v="0.43140000000000001"/>
    <n v="4.7300000000000004"/>
    <n v="149.85"/>
    <n v="15"/>
  </r>
  <r>
    <x v="0"/>
    <x v="2"/>
    <x v="2"/>
    <n v="2"/>
    <x v="0"/>
    <n v="5"/>
    <n v="5"/>
    <n v="0.42359999999999998"/>
    <n v="4.82"/>
    <n v="174.62"/>
    <n v="15"/>
  </r>
  <r>
    <x v="0"/>
    <x v="1"/>
    <x v="0"/>
    <n v="4"/>
    <x v="0"/>
    <n v="5"/>
    <n v="5"/>
    <n v="0.42"/>
    <n v="4.9000000000000004"/>
    <n v="288.39"/>
    <n v="579"/>
  </r>
  <r>
    <x v="0"/>
    <x v="1"/>
    <x v="0"/>
    <n v="5"/>
    <x v="0"/>
    <n v="5"/>
    <n v="5"/>
    <n v="0.41970000000000002"/>
    <n v="4.9400000000000004"/>
    <n v="326.07"/>
    <n v="16"/>
  </r>
  <r>
    <x v="0"/>
    <x v="1"/>
    <x v="1"/>
    <n v="10"/>
    <x v="1"/>
    <n v="5"/>
    <n v="4"/>
    <n v="0.40489999999999998"/>
    <n v="4.55"/>
    <n v="476.1"/>
    <n v="5"/>
  </r>
  <r>
    <x v="0"/>
    <x v="1"/>
    <x v="1"/>
    <n v="10"/>
    <x v="0"/>
    <n v="5"/>
    <n v="5"/>
    <n v="0.379"/>
    <n v="4.8499999999999996"/>
    <n v="586.65"/>
    <n v="41"/>
  </r>
  <r>
    <x v="0"/>
    <x v="1"/>
    <x v="1"/>
    <n v="4"/>
    <x v="0"/>
    <n v="5"/>
    <n v="5"/>
    <n v="0.36840000000000001"/>
    <n v="4.78"/>
    <n v="268.43"/>
    <n v="237"/>
  </r>
  <r>
    <x v="0"/>
    <x v="2"/>
    <x v="1"/>
    <n v="2"/>
    <x v="0"/>
    <n v="5"/>
    <n v="5"/>
    <n v="0.36749999999999999"/>
    <n v="4.8099999999999996"/>
    <n v="190.63"/>
    <n v="62"/>
  </r>
  <r>
    <x v="0"/>
    <x v="1"/>
    <x v="1"/>
    <n v="6"/>
    <x v="0"/>
    <n v="5"/>
    <n v="5"/>
    <n v="0.36049999999999999"/>
    <n v="4.8099999999999996"/>
    <n v="350"/>
    <n v="172"/>
  </r>
  <r>
    <x v="0"/>
    <x v="1"/>
    <x v="0"/>
    <n v="2"/>
    <x v="0"/>
    <n v="4"/>
    <n v="5"/>
    <n v="0.3553"/>
    <n v="4.7699999999999996"/>
    <n v="168.07"/>
    <n v="13"/>
  </r>
  <r>
    <x v="0"/>
    <x v="1"/>
    <x v="0"/>
    <n v="6"/>
    <x v="0"/>
    <n v="5"/>
    <n v="5"/>
    <n v="0.35339999999999999"/>
    <n v="4.9000000000000004"/>
    <n v="407.64"/>
    <n v="389"/>
  </r>
  <r>
    <x v="0"/>
    <x v="1"/>
    <x v="1"/>
    <n v="6"/>
    <x v="0"/>
    <n v="4"/>
    <n v="5"/>
    <n v="0.35270000000000001"/>
    <n v="4.7699999999999996"/>
    <n v="300.92"/>
    <n v="44"/>
  </r>
  <r>
    <x v="0"/>
    <x v="1"/>
    <x v="0"/>
    <n v="6"/>
    <x v="0"/>
    <n v="4"/>
    <n v="5"/>
    <n v="0.3493"/>
    <n v="4.82"/>
    <n v="322.8"/>
    <n v="43"/>
  </r>
  <r>
    <x v="0"/>
    <x v="2"/>
    <x v="0"/>
    <n v="5"/>
    <x v="0"/>
    <n v="5"/>
    <n v="5"/>
    <n v="0.34300000000000003"/>
    <n v="4.8600000000000003"/>
    <n v="305.25"/>
    <n v="5"/>
  </r>
  <r>
    <x v="0"/>
    <x v="1"/>
    <x v="0"/>
    <n v="4"/>
    <x v="0"/>
    <n v="4"/>
    <n v="5"/>
    <n v="0.3422"/>
    <n v="4.82"/>
    <n v="247.45"/>
    <n v="31"/>
  </r>
  <r>
    <x v="0"/>
    <x v="1"/>
    <x v="1"/>
    <n v="7"/>
    <x v="0"/>
    <n v="5"/>
    <n v="5"/>
    <n v="0.3402"/>
    <n v="4.72"/>
    <n v="256.18"/>
    <n v="6"/>
  </r>
  <r>
    <x v="0"/>
    <x v="2"/>
    <x v="1"/>
    <n v="4"/>
    <x v="0"/>
    <n v="5"/>
    <n v="5"/>
    <n v="0.3362"/>
    <n v="4.82"/>
    <n v="268.19"/>
    <n v="40"/>
  </r>
  <r>
    <x v="0"/>
    <x v="1"/>
    <x v="1"/>
    <n v="4"/>
    <x v="0"/>
    <n v="4"/>
    <n v="4"/>
    <n v="0.32819999999999999"/>
    <n v="4.41"/>
    <n v="190.2"/>
    <n v="14"/>
  </r>
  <r>
    <x v="0"/>
    <x v="1"/>
    <x v="1"/>
    <n v="16"/>
    <x v="0"/>
    <n v="5"/>
    <n v="5"/>
    <n v="0.31919999999999998"/>
    <n v="4.8899999999999997"/>
    <n v="1210.0999999999999"/>
    <n v="12"/>
  </r>
  <r>
    <x v="0"/>
    <x v="2"/>
    <x v="1"/>
    <n v="4"/>
    <x v="1"/>
    <n v="4"/>
    <n v="4"/>
    <n v="0.31019999999999998"/>
    <n v="4.09"/>
    <n v="180.52"/>
    <n v="5"/>
  </r>
  <r>
    <x v="0"/>
    <x v="2"/>
    <x v="0"/>
    <n v="3"/>
    <x v="0"/>
    <n v="5"/>
    <n v="5"/>
    <n v="0.30280000000000001"/>
    <n v="4.8899999999999997"/>
    <n v="238.22"/>
    <n v="10"/>
  </r>
  <r>
    <x v="0"/>
    <x v="1"/>
    <x v="0"/>
    <n v="6"/>
    <x v="0"/>
    <n v="5"/>
    <n v="4"/>
    <n v="0.28260000000000002"/>
    <n v="4.6100000000000003"/>
    <n v="310.68"/>
    <n v="6"/>
  </r>
  <r>
    <x v="0"/>
    <x v="1"/>
    <x v="1"/>
    <n v="8"/>
    <x v="0"/>
    <n v="5"/>
    <n v="5"/>
    <n v="0.25769999999999998"/>
    <n v="4.8099999999999996"/>
    <n v="373.82"/>
    <n v="45"/>
  </r>
  <r>
    <x v="0"/>
    <x v="0"/>
    <x v="1"/>
    <n v="3"/>
    <x v="0"/>
    <n v="5"/>
    <n v="5"/>
    <n v="0.25750000000000001"/>
    <n v="4.58"/>
    <n v="198.6"/>
    <n v="5"/>
  </r>
  <r>
    <x v="0"/>
    <x v="1"/>
    <x v="0"/>
    <n v="12"/>
    <x v="0"/>
    <n v="5"/>
    <n v="5"/>
    <n v="0.25750000000000001"/>
    <n v="4.92"/>
    <n v="657.42"/>
    <n v="25"/>
  </r>
  <r>
    <x v="0"/>
    <x v="1"/>
    <x v="1"/>
    <n v="6"/>
    <x v="1"/>
    <n v="5"/>
    <n v="4"/>
    <n v="0.25650000000000001"/>
    <n v="4.37"/>
    <n v="351.18"/>
    <n v="16"/>
  </r>
  <r>
    <x v="0"/>
    <x v="1"/>
    <x v="1"/>
    <n v="4"/>
    <x v="0"/>
    <n v="4"/>
    <n v="5"/>
    <n v="0.25430000000000003"/>
    <n v="4.66"/>
    <n v="216.49"/>
    <n v="20"/>
  </r>
  <r>
    <x v="0"/>
    <x v="2"/>
    <x v="0"/>
    <n v="12"/>
    <x v="0"/>
    <n v="5"/>
    <n v="5"/>
    <n v="0.25280000000000002"/>
    <n v="4.93"/>
    <n v="809.36"/>
    <n v="19"/>
  </r>
  <r>
    <x v="0"/>
    <x v="1"/>
    <x v="0"/>
    <n v="16"/>
    <x v="0"/>
    <n v="5"/>
    <n v="5"/>
    <n v="0.25209999999999999"/>
    <n v="4.93"/>
    <n v="1302.95"/>
    <n v="52"/>
  </r>
  <r>
    <x v="0"/>
    <x v="1"/>
    <x v="0"/>
    <n v="8"/>
    <x v="0"/>
    <n v="5"/>
    <n v="5"/>
    <n v="0.252"/>
    <n v="4.92"/>
    <n v="499.02"/>
    <n v="91"/>
  </r>
  <r>
    <x v="0"/>
    <x v="2"/>
    <x v="1"/>
    <n v="2"/>
    <x v="0"/>
    <n v="4"/>
    <n v="4"/>
    <n v="0.24340000000000001"/>
    <n v="4.26"/>
    <n v="164.17"/>
    <n v="6"/>
  </r>
  <r>
    <x v="0"/>
    <x v="1"/>
    <x v="1"/>
    <n v="12"/>
    <x v="0"/>
    <n v="5"/>
    <n v="5"/>
    <n v="0.24010000000000001"/>
    <n v="4.76"/>
    <n v="472.84"/>
    <n v="33"/>
  </r>
  <r>
    <x v="0"/>
    <x v="1"/>
    <x v="0"/>
    <n v="10"/>
    <x v="0"/>
    <n v="4"/>
    <n v="5"/>
    <n v="0.24010000000000001"/>
    <n v="4.84"/>
    <n v="528.29"/>
    <n v="32"/>
  </r>
  <r>
    <x v="0"/>
    <x v="1"/>
    <x v="0"/>
    <n v="10"/>
    <x v="0"/>
    <n v="5"/>
    <n v="5"/>
    <n v="0.23350000000000001"/>
    <n v="4.9000000000000004"/>
    <n v="647.66"/>
    <n v="159"/>
  </r>
  <r>
    <x v="0"/>
    <x v="1"/>
    <x v="1"/>
    <n v="6"/>
    <x v="0"/>
    <n v="5"/>
    <n v="4"/>
    <n v="0.22950000000000001"/>
    <n v="4.46"/>
    <n v="294.99"/>
    <n v="17"/>
  </r>
  <r>
    <x v="0"/>
    <x v="1"/>
    <x v="0"/>
    <n v="8"/>
    <x v="0"/>
    <n v="4"/>
    <n v="5"/>
    <n v="0.22670000000000001"/>
    <n v="4.78"/>
    <n v="374.4"/>
    <n v="11"/>
  </r>
  <r>
    <x v="0"/>
    <x v="1"/>
    <x v="1"/>
    <n v="6"/>
    <x v="0"/>
    <n v="4"/>
    <n v="4"/>
    <n v="0.22500000000000001"/>
    <n v="4.45"/>
    <n v="358.64"/>
    <n v="9"/>
  </r>
  <r>
    <x v="0"/>
    <x v="1"/>
    <x v="1"/>
    <n v="8"/>
    <x v="0"/>
    <n v="4"/>
    <n v="5"/>
    <n v="0.21990000000000001"/>
    <n v="4.7"/>
    <n v="333.04"/>
    <n v="8"/>
  </r>
  <r>
    <x v="0"/>
    <x v="2"/>
    <x v="0"/>
    <n v="16"/>
    <x v="0"/>
    <n v="5"/>
    <n v="5"/>
    <n v="0.21529999999999999"/>
    <n v="4.9000000000000004"/>
    <n v="1092.53"/>
    <n v="5"/>
  </r>
  <r>
    <x v="0"/>
    <x v="2"/>
    <x v="1"/>
    <n v="2"/>
    <x v="0"/>
    <n v="5"/>
    <n v="4"/>
    <n v="0.21099999999999999"/>
    <n v="4.3099999999999996"/>
    <n v="183.9"/>
    <n v="15"/>
  </r>
  <r>
    <x v="0"/>
    <x v="2"/>
    <x v="1"/>
    <n v="2"/>
    <x v="1"/>
    <n v="4"/>
    <n v="4"/>
    <n v="0.20880000000000001"/>
    <n v="4.04"/>
    <n v="104.21"/>
    <n v="5"/>
  </r>
  <r>
    <x v="0"/>
    <x v="1"/>
    <x v="1"/>
    <n v="2"/>
    <x v="0"/>
    <n v="4"/>
    <n v="4"/>
    <n v="0.20269999999999999"/>
    <n v="4.38"/>
    <n v="187.41"/>
    <n v="9"/>
  </r>
  <r>
    <x v="0"/>
    <x v="0"/>
    <x v="1"/>
    <n v="2"/>
    <x v="0"/>
    <n v="5"/>
    <n v="5"/>
    <n v="0.20230000000000001"/>
    <n v="4.87"/>
    <n v="206.33"/>
    <n v="6"/>
  </r>
  <r>
    <x v="0"/>
    <x v="0"/>
    <x v="1"/>
    <n v="4"/>
    <x v="0"/>
    <n v="5"/>
    <n v="5"/>
    <n v="0.1883"/>
    <n v="4.91"/>
    <n v="210.24"/>
    <n v="7"/>
  </r>
  <r>
    <x v="0"/>
    <x v="1"/>
    <x v="0"/>
    <n v="14"/>
    <x v="0"/>
    <n v="5"/>
    <n v="5"/>
    <n v="0.18079999999999999"/>
    <n v="4.9000000000000004"/>
    <n v="543.34"/>
    <n v="16"/>
  </r>
  <r>
    <x v="0"/>
    <x v="0"/>
    <x v="0"/>
    <n v="16"/>
    <x v="0"/>
    <n v="5"/>
    <n v="5"/>
    <n v="0.18010000000000001"/>
    <n v="4.87"/>
    <n v="911.33"/>
    <n v="15"/>
  </r>
  <r>
    <x v="0"/>
    <x v="2"/>
    <x v="0"/>
    <n v="8"/>
    <x v="0"/>
    <n v="5"/>
    <n v="5"/>
    <n v="0.17330000000000001"/>
    <n v="4.96"/>
    <n v="550.79999999999995"/>
    <n v="8"/>
  </r>
  <r>
    <x v="0"/>
    <x v="0"/>
    <x v="1"/>
    <n v="8"/>
    <x v="0"/>
    <n v="5"/>
    <n v="5"/>
    <n v="0.1726"/>
    <n v="4.75"/>
    <n v="485.78"/>
    <n v="6"/>
  </r>
  <r>
    <x v="0"/>
    <x v="1"/>
    <x v="1"/>
    <n v="6"/>
    <x v="1"/>
    <n v="5"/>
    <n v="5"/>
    <n v="0.1633"/>
    <n v="4.45"/>
    <n v="363.26"/>
    <n v="5"/>
  </r>
  <r>
    <x v="0"/>
    <x v="2"/>
    <x v="1"/>
    <n v="6"/>
    <x v="0"/>
    <n v="5"/>
    <n v="5"/>
    <n v="0.15890000000000001"/>
    <n v="4.8600000000000003"/>
    <n v="319.69"/>
    <n v="9"/>
  </r>
  <r>
    <x v="0"/>
    <x v="2"/>
    <x v="1"/>
    <n v="8"/>
    <x v="0"/>
    <n v="5"/>
    <n v="5"/>
    <n v="0.15479999999999999"/>
    <n v="4.97"/>
    <n v="392.17"/>
    <n v="6"/>
  </r>
  <r>
    <x v="0"/>
    <x v="1"/>
    <x v="1"/>
    <n v="4"/>
    <x v="1"/>
    <n v="4"/>
    <n v="4"/>
    <n v="0.15409999999999999"/>
    <n v="4.22"/>
    <n v="192.13"/>
    <n v="26"/>
  </r>
  <r>
    <x v="0"/>
    <x v="1"/>
    <x v="1"/>
    <n v="8"/>
    <x v="0"/>
    <n v="5"/>
    <n v="4"/>
    <n v="0.15340000000000001"/>
    <n v="4.59"/>
    <n v="320.08"/>
    <n v="5"/>
  </r>
  <r>
    <x v="0"/>
    <x v="1"/>
    <x v="1"/>
    <n v="4"/>
    <x v="0"/>
    <n v="5"/>
    <n v="4"/>
    <n v="0.15040000000000001"/>
    <n v="4.47"/>
    <n v="206.61"/>
    <n v="40"/>
  </r>
  <r>
    <x v="0"/>
    <x v="1"/>
    <x v="1"/>
    <n v="2"/>
    <x v="0"/>
    <n v="5"/>
    <n v="4"/>
    <n v="0.1464"/>
    <n v="4.26"/>
    <n v="203.44"/>
    <n v="9"/>
  </r>
  <r>
    <x v="0"/>
    <x v="1"/>
    <x v="1"/>
    <n v="10"/>
    <x v="0"/>
    <n v="4"/>
    <n v="5"/>
    <n v="0.13519999999999999"/>
    <n v="4.8099999999999996"/>
    <n v="515.66"/>
    <n v="9"/>
  </r>
  <r>
    <x v="0"/>
    <x v="2"/>
    <x v="0"/>
    <n v="6"/>
    <x v="0"/>
    <n v="5"/>
    <n v="5"/>
    <n v="0.12640000000000001"/>
    <n v="4.9400000000000004"/>
    <n v="340.54"/>
    <n v="75"/>
  </r>
  <r>
    <x v="0"/>
    <x v="1"/>
    <x v="1"/>
    <n v="8"/>
    <x v="1"/>
    <n v="4"/>
    <n v="4"/>
    <n v="0.1182"/>
    <n v="4.3"/>
    <n v="332.59"/>
    <n v="7"/>
  </r>
  <r>
    <x v="0"/>
    <x v="1"/>
    <x v="1"/>
    <n v="2"/>
    <x v="1"/>
    <n v="4"/>
    <n v="4"/>
    <n v="0.1144"/>
    <n v="4.03"/>
    <n v="178.72"/>
    <n v="8"/>
  </r>
  <r>
    <x v="0"/>
    <x v="1"/>
    <x v="1"/>
    <n v="4"/>
    <x v="1"/>
    <n v="5"/>
    <n v="5"/>
    <n v="0.1134"/>
    <n v="4.4800000000000004"/>
    <n v="195.79"/>
    <n v="8"/>
  </r>
  <r>
    <x v="0"/>
    <x v="2"/>
    <x v="1"/>
    <n v="2"/>
    <x v="1"/>
    <n v="5"/>
    <n v="4"/>
    <n v="0.1033"/>
    <n v="4.17"/>
    <n v="139.74"/>
    <n v="7"/>
  </r>
  <r>
    <x v="0"/>
    <x v="1"/>
    <x v="1"/>
    <n v="2"/>
    <x v="1"/>
    <n v="5"/>
    <n v="4"/>
    <n v="9.8400000000000001E-2"/>
    <n v="4.16"/>
    <n v="191.33"/>
    <n v="10"/>
  </r>
  <r>
    <x v="0"/>
    <x v="1"/>
    <x v="1"/>
    <n v="4"/>
    <x v="1"/>
    <n v="5"/>
    <n v="4"/>
    <n v="8.6499999999999994E-2"/>
    <n v="4.24"/>
    <n v="236.17"/>
    <n v="32"/>
  </r>
  <r>
    <x v="0"/>
    <x v="2"/>
    <x v="1"/>
    <n v="4"/>
    <x v="1"/>
    <n v="5"/>
    <n v="4"/>
    <n v="6.8500000000000005E-2"/>
    <n v="4.2"/>
    <n v="138.55000000000001"/>
    <n v="6"/>
  </r>
  <r>
    <x v="0"/>
    <x v="1"/>
    <x v="1"/>
    <n v="6"/>
    <x v="1"/>
    <n v="4"/>
    <n v="4"/>
    <n v="5.4399999999999997E-2"/>
    <n v="4.26"/>
    <n v="300.16000000000003"/>
    <n v="15"/>
  </r>
  <r>
    <x v="0"/>
    <x v="1"/>
    <x v="1"/>
    <n v="4"/>
    <x v="1"/>
    <n v="4"/>
    <n v="3"/>
    <n v="4.3799999999999999E-2"/>
    <n v="3.08"/>
    <n v="205.12"/>
    <n v="5"/>
  </r>
  <r>
    <x v="1"/>
    <x v="2"/>
    <x v="1"/>
    <n v="8"/>
    <x v="0"/>
    <n v="5"/>
    <n v="4"/>
    <n v="0.83479999999999999"/>
    <n v="4.59"/>
    <n v="458.86"/>
    <n v="7"/>
  </r>
  <r>
    <x v="1"/>
    <x v="1"/>
    <x v="1"/>
    <n v="3"/>
    <x v="0"/>
    <n v="5"/>
    <n v="4"/>
    <n v="0.74160000000000004"/>
    <n v="4.53"/>
    <n v="228.64"/>
    <n v="6"/>
  </r>
  <r>
    <x v="1"/>
    <x v="2"/>
    <x v="1"/>
    <n v="8"/>
    <x v="0"/>
    <n v="5"/>
    <n v="5"/>
    <n v="0.6784"/>
    <n v="4.7"/>
    <n v="501.37"/>
    <n v="10"/>
  </r>
  <r>
    <x v="1"/>
    <x v="1"/>
    <x v="1"/>
    <n v="5"/>
    <x v="1"/>
    <n v="5"/>
    <n v="5"/>
    <n v="0.63770000000000004"/>
    <n v="4.6500000000000004"/>
    <n v="290.76"/>
    <n v="9"/>
  </r>
  <r>
    <x v="1"/>
    <x v="1"/>
    <x v="1"/>
    <n v="9"/>
    <x v="0"/>
    <n v="5"/>
    <n v="5"/>
    <n v="0.62649999999999995"/>
    <n v="4.74"/>
    <n v="550.59"/>
    <n v="6"/>
  </r>
  <r>
    <x v="1"/>
    <x v="2"/>
    <x v="0"/>
    <n v="2"/>
    <x v="1"/>
    <n v="5"/>
    <n v="5"/>
    <n v="0.60089999999999999"/>
    <n v="4.62"/>
    <n v="268.66000000000003"/>
    <n v="6"/>
  </r>
  <r>
    <x v="1"/>
    <x v="1"/>
    <x v="1"/>
    <n v="8"/>
    <x v="0"/>
    <n v="5"/>
    <n v="5"/>
    <n v="0.57679999999999998"/>
    <n v="4.78"/>
    <n v="542.07000000000005"/>
    <n v="21"/>
  </r>
  <r>
    <x v="1"/>
    <x v="2"/>
    <x v="0"/>
    <n v="4"/>
    <x v="0"/>
    <n v="4"/>
    <n v="5"/>
    <n v="0.55120000000000002"/>
    <n v="4.8099999999999996"/>
    <n v="245.7"/>
    <n v="5"/>
  </r>
  <r>
    <x v="1"/>
    <x v="2"/>
    <x v="1"/>
    <n v="6"/>
    <x v="0"/>
    <n v="5"/>
    <n v="5"/>
    <n v="0.54600000000000004"/>
    <n v="4.8099999999999996"/>
    <n v="1047.54"/>
    <n v="14"/>
  </r>
  <r>
    <x v="1"/>
    <x v="2"/>
    <x v="1"/>
    <n v="2"/>
    <x v="1"/>
    <n v="5"/>
    <n v="5"/>
    <n v="0.54549999999999998"/>
    <n v="4.6100000000000003"/>
    <n v="176"/>
    <n v="27"/>
  </r>
  <r>
    <x v="1"/>
    <x v="1"/>
    <x v="1"/>
    <n v="2"/>
    <x v="0"/>
    <n v="5"/>
    <n v="5"/>
    <n v="0.54379999999999995"/>
    <n v="4.76"/>
    <n v="273.3"/>
    <n v="158"/>
  </r>
  <r>
    <x v="1"/>
    <x v="2"/>
    <x v="1"/>
    <n v="2"/>
    <x v="1"/>
    <n v="4"/>
    <n v="5"/>
    <n v="0.53449999999999998"/>
    <n v="4.59"/>
    <n v="183.87"/>
    <n v="11"/>
  </r>
  <r>
    <x v="1"/>
    <x v="1"/>
    <x v="1"/>
    <n v="6"/>
    <x v="1"/>
    <n v="5"/>
    <n v="4"/>
    <n v="0.51939999999999997"/>
    <n v="4.3499999999999996"/>
    <n v="333.78"/>
    <n v="17"/>
  </r>
  <r>
    <x v="1"/>
    <x v="2"/>
    <x v="1"/>
    <n v="5"/>
    <x v="0"/>
    <n v="5"/>
    <n v="5"/>
    <n v="0.51590000000000003"/>
    <n v="4.8499999999999996"/>
    <n v="296.31"/>
    <n v="7"/>
  </r>
  <r>
    <x v="1"/>
    <x v="1"/>
    <x v="1"/>
    <n v="3"/>
    <x v="1"/>
    <n v="5"/>
    <n v="4"/>
    <n v="0.51200000000000001"/>
    <n v="4.34"/>
    <n v="253.73"/>
    <n v="22"/>
  </r>
  <r>
    <x v="1"/>
    <x v="1"/>
    <x v="1"/>
    <n v="6"/>
    <x v="1"/>
    <n v="5"/>
    <n v="5"/>
    <n v="0.51100000000000001"/>
    <n v="4.54"/>
    <n v="320.52999999999997"/>
    <n v="6"/>
  </r>
  <r>
    <x v="1"/>
    <x v="2"/>
    <x v="2"/>
    <n v="2"/>
    <x v="0"/>
    <n v="4"/>
    <n v="4"/>
    <n v="0.51080000000000003"/>
    <n v="4.29"/>
    <n v="210.84"/>
    <n v="7"/>
  </r>
  <r>
    <x v="1"/>
    <x v="2"/>
    <x v="0"/>
    <n v="4"/>
    <x v="0"/>
    <n v="5"/>
    <n v="4"/>
    <n v="0.50549999999999995"/>
    <n v="4.62"/>
    <n v="367.24"/>
    <n v="6"/>
  </r>
  <r>
    <x v="1"/>
    <x v="2"/>
    <x v="0"/>
    <n v="2"/>
    <x v="0"/>
    <n v="5"/>
    <n v="4"/>
    <n v="0.49719999999999998"/>
    <n v="4.7"/>
    <n v="770.3"/>
    <n v="10"/>
  </r>
  <r>
    <x v="1"/>
    <x v="1"/>
    <x v="1"/>
    <n v="3"/>
    <x v="0"/>
    <n v="5"/>
    <n v="5"/>
    <n v="0.49209999999999998"/>
    <n v="4.78"/>
    <n v="339.29"/>
    <n v="25"/>
  </r>
  <r>
    <x v="1"/>
    <x v="2"/>
    <x v="1"/>
    <n v="1"/>
    <x v="0"/>
    <n v="5"/>
    <n v="5"/>
    <n v="0.49049999999999999"/>
    <n v="4.8600000000000003"/>
    <n v="161.30000000000001"/>
    <n v="60"/>
  </r>
  <r>
    <x v="1"/>
    <x v="1"/>
    <x v="1"/>
    <n v="6"/>
    <x v="0"/>
    <n v="5"/>
    <n v="4"/>
    <n v="0.48970000000000002"/>
    <n v="4.5199999999999996"/>
    <n v="380.86"/>
    <n v="15"/>
  </r>
  <r>
    <x v="1"/>
    <x v="1"/>
    <x v="0"/>
    <n v="3"/>
    <x v="0"/>
    <n v="5"/>
    <n v="5"/>
    <n v="0.48859999999999998"/>
    <n v="4.8499999999999996"/>
    <n v="375.06"/>
    <n v="37"/>
  </r>
  <r>
    <x v="1"/>
    <x v="2"/>
    <x v="0"/>
    <n v="1"/>
    <x v="0"/>
    <n v="5"/>
    <n v="5"/>
    <n v="0.4859"/>
    <n v="4.9000000000000004"/>
    <n v="154.01"/>
    <n v="203"/>
  </r>
  <r>
    <x v="1"/>
    <x v="1"/>
    <x v="1"/>
    <n v="8"/>
    <x v="1"/>
    <n v="5"/>
    <n v="4"/>
    <n v="0.48220000000000002"/>
    <n v="4.3499999999999996"/>
    <n v="342.17"/>
    <n v="14"/>
  </r>
  <r>
    <x v="1"/>
    <x v="1"/>
    <x v="0"/>
    <n v="7"/>
    <x v="0"/>
    <n v="5"/>
    <n v="5"/>
    <n v="0.48130000000000001"/>
    <n v="4.88"/>
    <n v="642.58000000000004"/>
    <n v="25"/>
  </r>
  <r>
    <x v="1"/>
    <x v="1"/>
    <x v="1"/>
    <n v="4"/>
    <x v="0"/>
    <n v="5"/>
    <n v="4"/>
    <n v="0.47699999999999998"/>
    <n v="4.5"/>
    <n v="293.42"/>
    <n v="17"/>
  </r>
  <r>
    <x v="1"/>
    <x v="1"/>
    <x v="1"/>
    <n v="2"/>
    <x v="0"/>
    <n v="4"/>
    <n v="5"/>
    <n v="0.46510000000000001"/>
    <n v="4.75"/>
    <n v="254.03"/>
    <n v="8"/>
  </r>
  <r>
    <x v="1"/>
    <x v="1"/>
    <x v="1"/>
    <n v="5"/>
    <x v="0"/>
    <n v="5"/>
    <n v="4"/>
    <n v="0.46160000000000001"/>
    <n v="4.54"/>
    <n v="415.31"/>
    <n v="21"/>
  </r>
  <r>
    <x v="1"/>
    <x v="1"/>
    <x v="1"/>
    <n v="4"/>
    <x v="0"/>
    <n v="5"/>
    <n v="5"/>
    <n v="0.4602"/>
    <n v="4.75"/>
    <n v="433.14"/>
    <n v="66"/>
  </r>
  <r>
    <x v="1"/>
    <x v="2"/>
    <x v="0"/>
    <n v="2"/>
    <x v="0"/>
    <n v="5"/>
    <n v="5"/>
    <n v="0.45839999999999997"/>
    <n v="4.9000000000000004"/>
    <n v="233.84"/>
    <n v="898"/>
  </r>
  <r>
    <x v="1"/>
    <x v="1"/>
    <x v="1"/>
    <n v="4"/>
    <x v="1"/>
    <n v="5"/>
    <n v="4"/>
    <n v="0.45369999999999999"/>
    <n v="4.34"/>
    <n v="270.92"/>
    <n v="29"/>
  </r>
  <r>
    <x v="1"/>
    <x v="1"/>
    <x v="1"/>
    <n v="2"/>
    <x v="0"/>
    <n v="5"/>
    <n v="4"/>
    <n v="0.45029999999999998"/>
    <n v="4.58"/>
    <n v="261.64999999999998"/>
    <n v="23"/>
  </r>
  <r>
    <x v="1"/>
    <x v="1"/>
    <x v="0"/>
    <n v="2"/>
    <x v="0"/>
    <n v="5"/>
    <n v="5"/>
    <n v="0.4496"/>
    <n v="4.8899999999999997"/>
    <n v="344.72"/>
    <n v="207"/>
  </r>
  <r>
    <x v="1"/>
    <x v="3"/>
    <x v="0"/>
    <n v="2"/>
    <x v="0"/>
    <n v="5"/>
    <n v="5"/>
    <n v="0.44159999999999999"/>
    <n v="4.9000000000000004"/>
    <n v="365.01"/>
    <n v="20"/>
  </r>
  <r>
    <x v="1"/>
    <x v="2"/>
    <x v="1"/>
    <n v="4"/>
    <x v="0"/>
    <n v="5"/>
    <n v="5"/>
    <n v="0.43669999999999998"/>
    <n v="4.82"/>
    <n v="651.95000000000005"/>
    <n v="54"/>
  </r>
  <r>
    <x v="1"/>
    <x v="1"/>
    <x v="0"/>
    <n v="4"/>
    <x v="0"/>
    <n v="5"/>
    <n v="4"/>
    <n v="0.43559999999999999"/>
    <n v="4.78"/>
    <n v="511.13"/>
    <n v="5"/>
  </r>
  <r>
    <x v="1"/>
    <x v="2"/>
    <x v="2"/>
    <n v="4"/>
    <x v="1"/>
    <n v="4"/>
    <n v="4"/>
    <n v="0.43469999999999998"/>
    <n v="4.05"/>
    <n v="329.6"/>
    <n v="6"/>
  </r>
  <r>
    <x v="1"/>
    <x v="1"/>
    <x v="1"/>
    <n v="4"/>
    <x v="1"/>
    <n v="5"/>
    <n v="5"/>
    <n v="0.43390000000000001"/>
    <n v="4.62"/>
    <n v="200.5"/>
    <n v="8"/>
  </r>
  <r>
    <x v="1"/>
    <x v="1"/>
    <x v="1"/>
    <n v="5"/>
    <x v="0"/>
    <n v="5"/>
    <n v="5"/>
    <n v="0.432"/>
    <n v="4.78"/>
    <n v="459.83"/>
    <n v="29"/>
  </r>
  <r>
    <x v="1"/>
    <x v="1"/>
    <x v="0"/>
    <n v="6"/>
    <x v="0"/>
    <n v="5"/>
    <n v="5"/>
    <n v="0.42609999999999998"/>
    <n v="4.87"/>
    <n v="561.66"/>
    <n v="100"/>
  </r>
  <r>
    <x v="1"/>
    <x v="1"/>
    <x v="1"/>
    <n v="6"/>
    <x v="0"/>
    <n v="5"/>
    <n v="5"/>
    <n v="0.41889999999999999"/>
    <n v="4.72"/>
    <n v="506.54"/>
    <n v="50"/>
  </r>
  <r>
    <x v="1"/>
    <x v="1"/>
    <x v="0"/>
    <n v="12"/>
    <x v="0"/>
    <n v="5"/>
    <n v="5"/>
    <n v="0.41749999999999998"/>
    <n v="4.91"/>
    <n v="649.62"/>
    <n v="5"/>
  </r>
  <r>
    <x v="1"/>
    <x v="1"/>
    <x v="1"/>
    <n v="7"/>
    <x v="0"/>
    <n v="5"/>
    <n v="5"/>
    <n v="0.40839999999999999"/>
    <n v="4.76"/>
    <n v="508.89"/>
    <n v="15"/>
  </r>
  <r>
    <x v="1"/>
    <x v="1"/>
    <x v="1"/>
    <n v="2"/>
    <x v="1"/>
    <n v="5"/>
    <n v="4"/>
    <n v="0.4083"/>
    <n v="4.34"/>
    <n v="175.73"/>
    <n v="22"/>
  </r>
  <r>
    <x v="1"/>
    <x v="1"/>
    <x v="0"/>
    <n v="4"/>
    <x v="0"/>
    <n v="5"/>
    <n v="5"/>
    <n v="0.40460000000000002"/>
    <n v="4.88"/>
    <n v="458.99"/>
    <n v="139"/>
  </r>
  <r>
    <x v="1"/>
    <x v="2"/>
    <x v="0"/>
    <n v="3"/>
    <x v="0"/>
    <n v="5"/>
    <n v="5"/>
    <n v="0.40050000000000002"/>
    <n v="4.8600000000000003"/>
    <n v="287.39"/>
    <n v="21"/>
  </r>
  <r>
    <x v="1"/>
    <x v="1"/>
    <x v="1"/>
    <n v="4"/>
    <x v="0"/>
    <n v="4"/>
    <n v="5"/>
    <n v="0.39319999999999999"/>
    <n v="4.79"/>
    <n v="356.03"/>
    <n v="8"/>
  </r>
  <r>
    <x v="1"/>
    <x v="2"/>
    <x v="0"/>
    <n v="2"/>
    <x v="0"/>
    <n v="4"/>
    <n v="5"/>
    <n v="0.38900000000000001"/>
    <n v="4.84"/>
    <n v="222.66"/>
    <n v="53"/>
  </r>
  <r>
    <x v="1"/>
    <x v="2"/>
    <x v="1"/>
    <n v="2"/>
    <x v="0"/>
    <n v="5"/>
    <n v="5"/>
    <n v="0.38640000000000002"/>
    <n v="4.82"/>
    <n v="293.74"/>
    <n v="376"/>
  </r>
  <r>
    <x v="1"/>
    <x v="2"/>
    <x v="1"/>
    <n v="2"/>
    <x v="0"/>
    <n v="4"/>
    <n v="5"/>
    <n v="0.38450000000000001"/>
    <n v="4.74"/>
    <n v="185.04"/>
    <n v="30"/>
  </r>
  <r>
    <x v="1"/>
    <x v="1"/>
    <x v="0"/>
    <n v="5"/>
    <x v="0"/>
    <n v="5"/>
    <n v="5"/>
    <n v="0.38319999999999999"/>
    <n v="4.8600000000000003"/>
    <n v="513.79"/>
    <n v="32"/>
  </r>
  <r>
    <x v="1"/>
    <x v="1"/>
    <x v="0"/>
    <n v="2"/>
    <x v="0"/>
    <n v="4"/>
    <n v="5"/>
    <n v="0.38109999999999999"/>
    <n v="4.8"/>
    <n v="277.93"/>
    <n v="11"/>
  </r>
  <r>
    <x v="1"/>
    <x v="2"/>
    <x v="0"/>
    <n v="5"/>
    <x v="0"/>
    <n v="5"/>
    <n v="5"/>
    <n v="0.37809999999999999"/>
    <n v="4.93"/>
    <n v="360.14"/>
    <n v="7"/>
  </r>
  <r>
    <x v="1"/>
    <x v="2"/>
    <x v="1"/>
    <n v="2"/>
    <x v="1"/>
    <n v="5"/>
    <n v="4"/>
    <n v="0.37709999999999999"/>
    <n v="4.26"/>
    <n v="245.56"/>
    <n v="66"/>
  </r>
  <r>
    <x v="1"/>
    <x v="1"/>
    <x v="0"/>
    <n v="8"/>
    <x v="0"/>
    <n v="5"/>
    <n v="5"/>
    <n v="0.36599999999999999"/>
    <n v="4.8499999999999996"/>
    <n v="767.93"/>
    <n v="40"/>
  </r>
  <r>
    <x v="1"/>
    <x v="2"/>
    <x v="2"/>
    <n v="2"/>
    <x v="1"/>
    <n v="4"/>
    <n v="3"/>
    <n v="0.3644"/>
    <n v="3.61"/>
    <n v="243.88"/>
    <n v="6"/>
  </r>
  <r>
    <x v="1"/>
    <x v="1"/>
    <x v="1"/>
    <n v="8"/>
    <x v="0"/>
    <n v="4"/>
    <n v="5"/>
    <n v="0.36249999999999999"/>
    <n v="4.6900000000000004"/>
    <n v="414.61"/>
    <n v="9"/>
  </r>
  <r>
    <x v="1"/>
    <x v="2"/>
    <x v="0"/>
    <n v="6"/>
    <x v="0"/>
    <n v="5"/>
    <n v="5"/>
    <n v="0.35709999999999997"/>
    <n v="4.93"/>
    <n v="648.21"/>
    <n v="25"/>
  </r>
  <r>
    <x v="1"/>
    <x v="2"/>
    <x v="0"/>
    <n v="4"/>
    <x v="0"/>
    <n v="5"/>
    <n v="5"/>
    <n v="0.35539999999999999"/>
    <n v="4.87"/>
    <n v="463.34"/>
    <n v="72"/>
  </r>
  <r>
    <x v="1"/>
    <x v="2"/>
    <x v="1"/>
    <n v="4"/>
    <x v="0"/>
    <n v="5"/>
    <n v="4"/>
    <n v="0.3493"/>
    <n v="4.5599999999999996"/>
    <n v="404.88"/>
    <n v="20"/>
  </r>
  <r>
    <x v="1"/>
    <x v="2"/>
    <x v="1"/>
    <n v="2"/>
    <x v="0"/>
    <n v="5"/>
    <n v="4"/>
    <n v="0.33910000000000001"/>
    <n v="4.4800000000000004"/>
    <n v="302.45999999999998"/>
    <n v="79"/>
  </r>
  <r>
    <x v="1"/>
    <x v="2"/>
    <x v="2"/>
    <n v="3"/>
    <x v="0"/>
    <n v="5"/>
    <n v="5"/>
    <n v="0.33150000000000002"/>
    <n v="4.82"/>
    <n v="392.34"/>
    <n v="6"/>
  </r>
  <r>
    <x v="1"/>
    <x v="0"/>
    <x v="1"/>
    <n v="2"/>
    <x v="0"/>
    <n v="5"/>
    <n v="4"/>
    <n v="0.32469999999999999"/>
    <n v="4.6100000000000003"/>
    <n v="527.05999999999995"/>
    <n v="16"/>
  </r>
  <r>
    <x v="1"/>
    <x v="1"/>
    <x v="0"/>
    <n v="2"/>
    <x v="0"/>
    <n v="5"/>
    <n v="4"/>
    <n v="0.32269999999999999"/>
    <n v="4.6100000000000003"/>
    <n v="366.98"/>
    <n v="9"/>
  </r>
  <r>
    <x v="1"/>
    <x v="2"/>
    <x v="0"/>
    <n v="1"/>
    <x v="0"/>
    <n v="4"/>
    <n v="5"/>
    <n v="0.30649999999999999"/>
    <n v="4.8499999999999996"/>
    <n v="103.3"/>
    <n v="7"/>
  </r>
  <r>
    <x v="1"/>
    <x v="1"/>
    <x v="0"/>
    <n v="16"/>
    <x v="0"/>
    <n v="5"/>
    <n v="5"/>
    <n v="0.30630000000000002"/>
    <n v="4.92"/>
    <n v="1698.06"/>
    <n v="5"/>
  </r>
  <r>
    <x v="1"/>
    <x v="2"/>
    <x v="1"/>
    <n v="1"/>
    <x v="1"/>
    <n v="5"/>
    <n v="5"/>
    <n v="0.30299999999999999"/>
    <n v="4.55"/>
    <n v="149.44"/>
    <n v="10"/>
  </r>
  <r>
    <x v="1"/>
    <x v="2"/>
    <x v="1"/>
    <n v="1"/>
    <x v="1"/>
    <n v="5"/>
    <n v="4"/>
    <n v="0.30159999999999998"/>
    <n v="4.29"/>
    <n v="162.81"/>
    <n v="12"/>
  </r>
  <r>
    <x v="1"/>
    <x v="0"/>
    <x v="1"/>
    <n v="2"/>
    <x v="0"/>
    <n v="5"/>
    <n v="5"/>
    <n v="0.29249999999999998"/>
    <n v="4.7699999999999996"/>
    <n v="585.17999999999995"/>
    <n v="28"/>
  </r>
  <r>
    <x v="1"/>
    <x v="1"/>
    <x v="1"/>
    <n v="10"/>
    <x v="0"/>
    <n v="5"/>
    <n v="5"/>
    <n v="0.28999999999999998"/>
    <n v="4.84"/>
    <n v="577.63"/>
    <n v="6"/>
  </r>
  <r>
    <x v="1"/>
    <x v="2"/>
    <x v="2"/>
    <n v="4"/>
    <x v="0"/>
    <n v="5"/>
    <n v="4"/>
    <n v="0.28870000000000001"/>
    <n v="4.58"/>
    <n v="283.81"/>
    <n v="11"/>
  </r>
  <r>
    <x v="1"/>
    <x v="1"/>
    <x v="1"/>
    <n v="10"/>
    <x v="1"/>
    <n v="5"/>
    <n v="4"/>
    <n v="0.28660000000000002"/>
    <n v="4.25"/>
    <n v="354.25"/>
    <n v="5"/>
  </r>
  <r>
    <x v="1"/>
    <x v="2"/>
    <x v="1"/>
    <n v="4"/>
    <x v="1"/>
    <n v="5"/>
    <n v="4"/>
    <n v="0.28489999999999999"/>
    <n v="4.28"/>
    <n v="340.98"/>
    <n v="25"/>
  </r>
  <r>
    <x v="1"/>
    <x v="1"/>
    <x v="1"/>
    <n v="5"/>
    <x v="1"/>
    <n v="5"/>
    <n v="4"/>
    <n v="0.28120000000000001"/>
    <n v="4.43"/>
    <n v="253.34"/>
    <n v="14"/>
  </r>
  <r>
    <x v="1"/>
    <x v="1"/>
    <x v="1"/>
    <n v="6"/>
    <x v="1"/>
    <n v="4"/>
    <n v="4"/>
    <n v="0.28039999999999998"/>
    <n v="4.1500000000000004"/>
    <n v="455.24"/>
    <n v="6"/>
  </r>
  <r>
    <x v="1"/>
    <x v="1"/>
    <x v="1"/>
    <n v="2"/>
    <x v="1"/>
    <n v="5"/>
    <n v="5"/>
    <n v="0.27560000000000001"/>
    <n v="4.32"/>
    <n v="284.56"/>
    <n v="5"/>
  </r>
  <r>
    <x v="1"/>
    <x v="2"/>
    <x v="2"/>
    <n v="4"/>
    <x v="1"/>
    <n v="5"/>
    <n v="4"/>
    <n v="0.27400000000000002"/>
    <n v="4.22"/>
    <n v="252.5"/>
    <n v="5"/>
  </r>
  <r>
    <x v="1"/>
    <x v="2"/>
    <x v="2"/>
    <n v="2"/>
    <x v="0"/>
    <n v="5"/>
    <n v="5"/>
    <n v="0.27029999999999998"/>
    <n v="4.8499999999999996"/>
    <n v="327.98"/>
    <n v="161"/>
  </r>
  <r>
    <x v="1"/>
    <x v="2"/>
    <x v="2"/>
    <n v="2"/>
    <x v="0"/>
    <n v="5"/>
    <n v="4"/>
    <n v="0.26779999999999998"/>
    <n v="4.58"/>
    <n v="308.81"/>
    <n v="59"/>
  </r>
  <r>
    <x v="1"/>
    <x v="2"/>
    <x v="1"/>
    <n v="2"/>
    <x v="1"/>
    <n v="4"/>
    <n v="4"/>
    <n v="0.26529999999999998"/>
    <n v="4.22"/>
    <n v="188.19"/>
    <n v="18"/>
  </r>
  <r>
    <x v="1"/>
    <x v="3"/>
    <x v="1"/>
    <n v="2"/>
    <x v="0"/>
    <n v="5"/>
    <n v="5"/>
    <n v="0.26200000000000001"/>
    <n v="4.74"/>
    <n v="218.65"/>
    <n v="8"/>
  </r>
  <r>
    <x v="1"/>
    <x v="2"/>
    <x v="1"/>
    <n v="3"/>
    <x v="0"/>
    <n v="5"/>
    <n v="5"/>
    <n v="0.25950000000000001"/>
    <n v="4.87"/>
    <n v="335.77"/>
    <n v="15"/>
  </r>
  <r>
    <x v="1"/>
    <x v="0"/>
    <x v="1"/>
    <n v="4"/>
    <x v="0"/>
    <n v="5"/>
    <n v="5"/>
    <n v="0.23860000000000001"/>
    <n v="4.8499999999999996"/>
    <n v="784.66"/>
    <n v="11"/>
  </r>
  <r>
    <x v="1"/>
    <x v="2"/>
    <x v="1"/>
    <n v="2"/>
    <x v="0"/>
    <n v="4"/>
    <n v="4"/>
    <n v="0.2384"/>
    <n v="4.54"/>
    <n v="195.01"/>
    <n v="19"/>
  </r>
  <r>
    <x v="1"/>
    <x v="0"/>
    <x v="1"/>
    <n v="4"/>
    <x v="0"/>
    <n v="5"/>
    <n v="4"/>
    <n v="0.2329"/>
    <n v="4.25"/>
    <n v="604.66999999999996"/>
    <n v="6"/>
  </r>
  <r>
    <x v="1"/>
    <x v="1"/>
    <x v="0"/>
    <n v="10"/>
    <x v="0"/>
    <n v="5"/>
    <n v="5"/>
    <n v="0.2316"/>
    <n v="4.91"/>
    <n v="1174.94"/>
    <n v="15"/>
  </r>
  <r>
    <x v="1"/>
    <x v="2"/>
    <x v="0"/>
    <n v="8"/>
    <x v="0"/>
    <n v="5"/>
    <n v="5"/>
    <n v="0.2263"/>
    <n v="4.8499999999999996"/>
    <n v="547.28"/>
    <n v="10"/>
  </r>
  <r>
    <x v="1"/>
    <x v="2"/>
    <x v="1"/>
    <n v="1"/>
    <x v="0"/>
    <n v="5"/>
    <n v="4"/>
    <n v="0.21940000000000001"/>
    <n v="4.4400000000000004"/>
    <n v="209.88"/>
    <n v="12"/>
  </r>
  <r>
    <x v="1"/>
    <x v="2"/>
    <x v="2"/>
    <n v="2"/>
    <x v="1"/>
    <n v="5"/>
    <n v="4"/>
    <n v="0.21360000000000001"/>
    <n v="4.2"/>
    <n v="264.62"/>
    <n v="22"/>
  </r>
  <r>
    <x v="1"/>
    <x v="1"/>
    <x v="0"/>
    <n v="14"/>
    <x v="0"/>
    <n v="5"/>
    <n v="5"/>
    <n v="0.2099"/>
    <n v="4.8899999999999997"/>
    <n v="928.19"/>
    <n v="5"/>
  </r>
  <r>
    <x v="1"/>
    <x v="2"/>
    <x v="2"/>
    <n v="2"/>
    <x v="1"/>
    <n v="4"/>
    <n v="4"/>
    <n v="0.20930000000000001"/>
    <n v="4.07"/>
    <n v="237.76"/>
    <n v="15"/>
  </r>
  <r>
    <x v="1"/>
    <x v="2"/>
    <x v="2"/>
    <n v="2"/>
    <x v="0"/>
    <n v="4"/>
    <n v="5"/>
    <n v="0.20910000000000001"/>
    <n v="4.66"/>
    <n v="351.98"/>
    <n v="6"/>
  </r>
  <r>
    <x v="1"/>
    <x v="2"/>
    <x v="2"/>
    <n v="4"/>
    <x v="0"/>
    <n v="5"/>
    <n v="5"/>
    <n v="0.19400000000000001"/>
    <n v="4.87"/>
    <n v="333.43"/>
    <n v="26"/>
  </r>
  <r>
    <x v="1"/>
    <x v="2"/>
    <x v="1"/>
    <n v="4"/>
    <x v="0"/>
    <n v="4"/>
    <n v="5"/>
    <n v="0.189"/>
    <n v="4.5999999999999996"/>
    <n v="208.14"/>
    <n v="5"/>
  </r>
  <r>
    <x v="1"/>
    <x v="1"/>
    <x v="1"/>
    <n v="16"/>
    <x v="0"/>
    <n v="5"/>
    <n v="5"/>
    <n v="0.17530000000000001"/>
    <n v="4.79"/>
    <n v="733.1"/>
    <n v="5"/>
  </r>
  <r>
    <x v="1"/>
    <x v="1"/>
    <x v="1"/>
    <n v="4"/>
    <x v="1"/>
    <n v="4"/>
    <n v="4"/>
    <n v="0.14630000000000001"/>
    <n v="4.22"/>
    <n v="287.20999999999998"/>
    <n v="5"/>
  </r>
  <r>
    <x v="1"/>
    <x v="2"/>
    <x v="1"/>
    <n v="1"/>
    <x v="1"/>
    <n v="4"/>
    <n v="4"/>
    <n v="0.1356"/>
    <n v="3.91"/>
    <n v="165.05"/>
    <n v="6"/>
  </r>
  <r>
    <x v="1"/>
    <x v="1"/>
    <x v="1"/>
    <n v="2"/>
    <x v="1"/>
    <n v="4"/>
    <n v="4"/>
    <n v="0.12570000000000001"/>
    <n v="4.0999999999999996"/>
    <n v="188.79"/>
    <n v="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x v="0"/>
    <s v=""/>
    <n v="414"/>
    <x v="0"/>
    <n v="1377.42"/>
    <n v="996.34"/>
    <x v="0"/>
    <n v="2.17"/>
    <n v="-877.38"/>
    <x v="0"/>
    <n v="4"/>
  </r>
  <r>
    <x v="0"/>
    <x v="1"/>
    <s v=""/>
    <n v="10971"/>
    <x v="1"/>
    <n v="2515.77"/>
    <n v="4669.6400000000003"/>
    <x v="1"/>
    <n v="1.25"/>
    <n v="260.97000000000003"/>
    <x v="1"/>
    <n v="3"/>
  </r>
  <r>
    <x v="0"/>
    <x v="2"/>
    <s v=""/>
    <n v="808"/>
    <x v="2"/>
    <n v="1225.02"/>
    <n v="811.4"/>
    <x v="2"/>
    <n v="1.18"/>
    <n v="-1029.78"/>
    <x v="0"/>
    <n v="4"/>
  </r>
  <r>
    <x v="0"/>
    <x v="3"/>
    <s v=""/>
    <n v="2425"/>
    <x v="3"/>
    <n v="1669.34"/>
    <n v="1832.51"/>
    <x v="3"/>
    <n v="0.95"/>
    <n v="-585.47"/>
    <x v="2"/>
    <n v="5"/>
  </r>
  <r>
    <x v="0"/>
    <x v="4"/>
    <s v=""/>
    <n v="1389"/>
    <x v="4"/>
    <n v="1977.94"/>
    <n v="3519.87"/>
    <x v="4"/>
    <n v="0.43"/>
    <n v="-276.86"/>
    <x v="2"/>
    <n v="5"/>
  </r>
  <r>
    <x v="0"/>
    <x v="5"/>
    <s v=""/>
    <n v="3450"/>
    <x v="5"/>
    <n v="2656.59"/>
    <n v="3377.81"/>
    <x v="5"/>
    <n v="-0.31"/>
    <n v="401.79"/>
    <x v="3"/>
    <n v="1"/>
  </r>
  <r>
    <x v="0"/>
    <x v="6"/>
    <s v=""/>
    <n v="102"/>
    <x v="6"/>
    <n v="2137.29"/>
    <n v="2987.5"/>
    <x v="6"/>
    <n v="-2.33"/>
    <n v="-117.51"/>
    <x v="4"/>
    <n v="2"/>
  </r>
  <r>
    <x v="0"/>
    <x v="7"/>
    <s v=""/>
    <n v="598"/>
    <x v="7"/>
    <n v="2574.85"/>
    <n v="7555.97"/>
    <x v="7"/>
    <n v="-3.57"/>
    <n v="320.05"/>
    <x v="3"/>
    <n v="1"/>
  </r>
  <r>
    <x v="0"/>
    <x v="8"/>
    <s v=""/>
    <n v="440"/>
    <x v="8"/>
    <n v="1135.18"/>
    <n v="1668.8"/>
    <x v="8"/>
    <n v="-4.6900000000000004"/>
    <n v="-1119.6199999999999"/>
    <x v="4"/>
    <n v="2"/>
  </r>
  <r>
    <x v="0"/>
    <x v="9"/>
    <s v=""/>
    <n v="689"/>
    <x v="9"/>
    <n v="1856.52"/>
    <n v="3637.16"/>
    <x v="9"/>
    <n v="-4.93"/>
    <n v="-398.28"/>
    <x v="4"/>
    <n v="2"/>
  </r>
  <r>
    <x v="0"/>
    <x v="10"/>
    <s v=""/>
    <n v="305"/>
    <x v="10"/>
    <n v="2606.8000000000002"/>
    <n v="5085.38"/>
    <x v="10"/>
    <n v="-5.75"/>
    <n v="352"/>
    <x v="3"/>
    <n v="1"/>
  </r>
  <r>
    <x v="0"/>
    <x v="11"/>
    <s v=""/>
    <n v="353"/>
    <x v="11"/>
    <n v="1137.1099999999999"/>
    <n v="1108.97"/>
    <x v="11"/>
    <n v="-7.41"/>
    <n v="-1117.69"/>
    <x v="4"/>
    <n v="2"/>
  </r>
  <r>
    <x v="0"/>
    <x v="12"/>
    <s v=""/>
    <n v="262"/>
    <x v="12"/>
    <n v="1190.8900000000001"/>
    <n v="2087.0300000000002"/>
    <x v="12"/>
    <n v="-11.28"/>
    <n v="-1063.9100000000001"/>
    <x v="4"/>
    <n v="2"/>
  </r>
  <r>
    <x v="0"/>
    <x v="13"/>
    <s v=""/>
    <n v="28"/>
    <x v="13"/>
    <n v="804.89"/>
    <n v="767.15"/>
    <x v="13"/>
    <n v="-12.94"/>
    <n v="-1449.91"/>
    <x v="4"/>
    <n v="2"/>
  </r>
  <r>
    <x v="0"/>
    <x v="14"/>
    <s v=""/>
    <n v="111"/>
    <x v="14"/>
    <n v="1890.51"/>
    <n v="2419.0300000000002"/>
    <x v="14"/>
    <n v="-13.05"/>
    <n v="-364.29"/>
    <x v="4"/>
    <n v="2"/>
  </r>
  <r>
    <x v="0"/>
    <x v="15"/>
    <s v=""/>
    <n v="21"/>
    <x v="15"/>
    <n v="1539.1"/>
    <n v="1585.37"/>
    <x v="15"/>
    <n v="-22.04"/>
    <n v="-715.71"/>
    <x v="4"/>
    <n v="2"/>
  </r>
  <r>
    <x v="1"/>
    <x v="16"/>
    <s v=""/>
    <n v="24"/>
    <x v="16"/>
    <n v="311.89999999999998"/>
    <n v="153.24"/>
    <x v="16"/>
    <n v="21.46"/>
    <n v="-46.53"/>
    <x v="0"/>
    <n v="4"/>
  </r>
  <r>
    <x v="1"/>
    <x v="17"/>
    <s v=""/>
    <n v="40"/>
    <x v="17"/>
    <n v="330.78"/>
    <n v="163.76"/>
    <x v="17"/>
    <n v="18.61"/>
    <n v="-27.66"/>
    <x v="0"/>
    <n v="4"/>
  </r>
  <r>
    <x v="1"/>
    <x v="18"/>
    <s v=""/>
    <n v="28"/>
    <x v="18"/>
    <n v="322.69"/>
    <n v="369.72"/>
    <x v="18"/>
    <n v="16.72"/>
    <n v="-35.74"/>
    <x v="2"/>
    <n v="5"/>
  </r>
  <r>
    <x v="1"/>
    <x v="19"/>
    <s v=""/>
    <n v="58"/>
    <x v="19"/>
    <n v="291.08999999999997"/>
    <n v="188.48"/>
    <x v="19"/>
    <n v="16.399999999999999"/>
    <n v="-67.349999999999994"/>
    <x v="0"/>
    <n v="4"/>
  </r>
  <r>
    <x v="1"/>
    <x v="20"/>
    <s v=""/>
    <n v="14"/>
    <x v="20"/>
    <n v="313.87"/>
    <n v="160.69"/>
    <x v="20"/>
    <n v="15.64"/>
    <n v="-44.57"/>
    <x v="0"/>
    <n v="4"/>
  </r>
  <r>
    <x v="1"/>
    <x v="21"/>
    <s v=""/>
    <n v="49"/>
    <x v="21"/>
    <n v="312.66000000000003"/>
    <n v="193.25"/>
    <x v="21"/>
    <n v="15.58"/>
    <n v="-45.78"/>
    <x v="0"/>
    <n v="4"/>
  </r>
  <r>
    <x v="1"/>
    <x v="22"/>
    <s v=""/>
    <n v="17"/>
    <x v="22"/>
    <n v="285.76"/>
    <n v="157.13"/>
    <x v="22"/>
    <n v="15.53"/>
    <n v="-72.680000000000007"/>
    <x v="0"/>
    <n v="4"/>
  </r>
  <r>
    <x v="1"/>
    <x v="23"/>
    <s v=""/>
    <n v="24"/>
    <x v="23"/>
    <n v="241.42"/>
    <n v="94.62"/>
    <x v="23"/>
    <n v="14.18"/>
    <n v="-117.02"/>
    <x v="0"/>
    <n v="4"/>
  </r>
  <r>
    <x v="1"/>
    <x v="24"/>
    <s v=""/>
    <n v="10"/>
    <x v="24"/>
    <n v="295.72000000000003"/>
    <n v="138.66"/>
    <x v="24"/>
    <n v="14.16"/>
    <n v="-62.72"/>
    <x v="0"/>
    <n v="4"/>
  </r>
  <r>
    <x v="1"/>
    <x v="25"/>
    <s v=""/>
    <n v="58"/>
    <x v="25"/>
    <n v="282.35000000000002"/>
    <n v="198.89"/>
    <x v="25"/>
    <n v="13.28"/>
    <n v="-76.09"/>
    <x v="0"/>
    <n v="4"/>
  </r>
  <r>
    <x v="1"/>
    <x v="26"/>
    <s v=""/>
    <n v="11"/>
    <x v="26"/>
    <n v="350.23"/>
    <n v="151"/>
    <x v="26"/>
    <n v="12.55"/>
    <n v="-8.1999999999999993"/>
    <x v="0"/>
    <n v="4"/>
  </r>
  <r>
    <x v="1"/>
    <x v="27"/>
    <s v=""/>
    <n v="52"/>
    <x v="27"/>
    <n v="370.71"/>
    <n v="221.12"/>
    <x v="27"/>
    <n v="12.54"/>
    <n v="12.27"/>
    <x v="1"/>
    <n v="3"/>
  </r>
  <r>
    <x v="1"/>
    <x v="28"/>
    <s v=""/>
    <n v="170"/>
    <x v="28"/>
    <n v="417.01"/>
    <n v="437.53"/>
    <x v="28"/>
    <n v="12.47"/>
    <n v="58.57"/>
    <x v="1"/>
    <n v="3"/>
  </r>
  <r>
    <x v="1"/>
    <x v="29"/>
    <s v=""/>
    <n v="16"/>
    <x v="29"/>
    <n v="256.27"/>
    <n v="82.78"/>
    <x v="29"/>
    <n v="12.13"/>
    <n v="-102.17"/>
    <x v="0"/>
    <n v="4"/>
  </r>
  <r>
    <x v="1"/>
    <x v="30"/>
    <s v=""/>
    <n v="29"/>
    <x v="30"/>
    <n v="298.72000000000003"/>
    <n v="226.43"/>
    <x v="30"/>
    <n v="10.46"/>
    <n v="-59.72"/>
    <x v="0"/>
    <n v="4"/>
  </r>
  <r>
    <x v="1"/>
    <x v="31"/>
    <s v=""/>
    <n v="68"/>
    <x v="31"/>
    <n v="338.1"/>
    <n v="194.99"/>
    <x v="31"/>
    <n v="10.26"/>
    <n v="-20.329999999999998"/>
    <x v="0"/>
    <n v="4"/>
  </r>
  <r>
    <x v="1"/>
    <x v="32"/>
    <s v=""/>
    <n v="46"/>
    <x v="32"/>
    <n v="375.86"/>
    <n v="399.12"/>
    <x v="32"/>
    <n v="9.77"/>
    <n v="17.43"/>
    <x v="1"/>
    <n v="3"/>
  </r>
  <r>
    <x v="1"/>
    <x v="33"/>
    <s v=""/>
    <n v="182"/>
    <x v="33"/>
    <n v="324.93"/>
    <n v="279.77999999999997"/>
    <x v="33"/>
    <n v="9.4"/>
    <n v="-33.51"/>
    <x v="2"/>
    <n v="5"/>
  </r>
  <r>
    <x v="1"/>
    <x v="34"/>
    <s v=""/>
    <n v="34"/>
    <x v="34"/>
    <n v="226.25"/>
    <n v="102.14"/>
    <x v="34"/>
    <n v="8.7100000000000009"/>
    <n v="-132.19"/>
    <x v="0"/>
    <n v="4"/>
  </r>
  <r>
    <x v="1"/>
    <x v="35"/>
    <s v=""/>
    <n v="12"/>
    <x v="35"/>
    <n v="262.76"/>
    <n v="149.34"/>
    <x v="35"/>
    <n v="8.1"/>
    <n v="-95.68"/>
    <x v="0"/>
    <n v="4"/>
  </r>
  <r>
    <x v="1"/>
    <x v="36"/>
    <s v=""/>
    <n v="24"/>
    <x v="36"/>
    <n v="320.39999999999998"/>
    <n v="180.06"/>
    <x v="36"/>
    <n v="8.0500000000000007"/>
    <n v="-38.04"/>
    <x v="0"/>
    <n v="4"/>
  </r>
  <r>
    <x v="1"/>
    <x v="37"/>
    <s v=""/>
    <n v="126"/>
    <x v="37"/>
    <n v="325.83"/>
    <n v="207.04"/>
    <x v="37"/>
    <n v="7.52"/>
    <n v="-32.6"/>
    <x v="0"/>
    <n v="4"/>
  </r>
  <r>
    <x v="1"/>
    <x v="38"/>
    <s v=""/>
    <n v="12"/>
    <x v="38"/>
    <n v="212.92"/>
    <n v="122.53"/>
    <x v="38"/>
    <n v="7.49"/>
    <n v="-145.52000000000001"/>
    <x v="0"/>
    <n v="4"/>
  </r>
  <r>
    <x v="1"/>
    <x v="39"/>
    <s v=""/>
    <n v="24"/>
    <x v="39"/>
    <n v="310.33999999999997"/>
    <n v="141.32"/>
    <x v="39"/>
    <n v="4.8600000000000003"/>
    <n v="-48.09"/>
    <x v="0"/>
    <n v="4"/>
  </r>
  <r>
    <x v="1"/>
    <x v="40"/>
    <s v=""/>
    <n v="250"/>
    <x v="40"/>
    <n v="384.04"/>
    <n v="313.79000000000002"/>
    <x v="40"/>
    <n v="3.8"/>
    <n v="25.6"/>
    <x v="1"/>
    <n v="3"/>
  </r>
  <r>
    <x v="1"/>
    <x v="41"/>
    <s v=""/>
    <n v="68"/>
    <x v="41"/>
    <n v="270.92"/>
    <n v="156.02000000000001"/>
    <x v="41"/>
    <n v="3.17"/>
    <n v="-87.52"/>
    <x v="0"/>
    <n v="4"/>
  </r>
  <r>
    <x v="1"/>
    <x v="42"/>
    <s v=""/>
    <n v="26"/>
    <x v="42"/>
    <n v="718.56"/>
    <n v="776.58"/>
    <x v="42"/>
    <n v="3.12"/>
    <n v="360.12"/>
    <x v="1"/>
    <n v="3"/>
  </r>
  <r>
    <x v="1"/>
    <x v="43"/>
    <s v=""/>
    <n v="184"/>
    <x v="43"/>
    <n v="439.19"/>
    <n v="328.12"/>
    <x v="43"/>
    <n v="2.9"/>
    <n v="80.760000000000005"/>
    <x v="1"/>
    <n v="3"/>
  </r>
  <r>
    <x v="1"/>
    <x v="44"/>
    <s v=""/>
    <n v="59"/>
    <x v="44"/>
    <n v="380.07"/>
    <n v="213.24"/>
    <x v="44"/>
    <n v="2.6"/>
    <n v="21.63"/>
    <x v="1"/>
    <n v="3"/>
  </r>
  <r>
    <x v="1"/>
    <x v="45"/>
    <s v=""/>
    <n v="14"/>
    <x v="45"/>
    <n v="281.27999999999997"/>
    <n v="225.78"/>
    <x v="45"/>
    <n v="2.29"/>
    <n v="-77.16"/>
    <x v="2"/>
    <n v="5"/>
  </r>
  <r>
    <x v="1"/>
    <x v="46"/>
    <s v=""/>
    <n v="330"/>
    <x v="46"/>
    <n v="436.35"/>
    <n v="554.91999999999996"/>
    <x v="46"/>
    <n v="0.08"/>
    <n v="77.91"/>
    <x v="1"/>
    <n v="3"/>
  </r>
  <r>
    <x v="1"/>
    <x v="47"/>
    <s v=""/>
    <n v="227"/>
    <x v="47"/>
    <n v="282.63"/>
    <n v="176.83"/>
    <x v="47"/>
    <n v="-3.71"/>
    <n v="-75.81"/>
    <x v="4"/>
    <n v="2"/>
  </r>
  <r>
    <x v="1"/>
    <x v="48"/>
    <s v=""/>
    <n v="34"/>
    <x v="48"/>
    <n v="465.75"/>
    <n v="521.12"/>
    <x v="48"/>
    <n v="-4.05"/>
    <n v="107.32"/>
    <x v="3"/>
    <n v="1"/>
  </r>
  <r>
    <x v="1"/>
    <x v="49"/>
    <s v=""/>
    <n v="125"/>
    <x v="49"/>
    <n v="293.99"/>
    <n v="378.76"/>
    <x v="49"/>
    <n v="-5.41"/>
    <n v="-64.44"/>
    <x v="4"/>
    <n v="2"/>
  </r>
  <r>
    <x v="1"/>
    <x v="50"/>
    <s v=""/>
    <n v="187"/>
    <x v="50"/>
    <n v="306.26"/>
    <n v="186.29"/>
    <x v="50"/>
    <n v="-6.88"/>
    <n v="-52.17"/>
    <x v="4"/>
    <n v="2"/>
  </r>
  <r>
    <x v="1"/>
    <x v="51"/>
    <s v=""/>
    <n v="126"/>
    <x v="51"/>
    <n v="367.09"/>
    <n v="214.36"/>
    <x v="51"/>
    <n v="-8.42"/>
    <n v="8.66"/>
    <x v="3"/>
    <n v="1"/>
  </r>
  <r>
    <x v="1"/>
    <x v="52"/>
    <s v=""/>
    <n v="18"/>
    <x v="52"/>
    <n v="432.2"/>
    <n v="109.32"/>
    <x v="52"/>
    <n v="-8.83"/>
    <n v="73.760000000000005"/>
    <x v="3"/>
    <n v="1"/>
  </r>
  <r>
    <x v="1"/>
    <x v="53"/>
    <s v=""/>
    <n v="1034"/>
    <x v="53"/>
    <n v="377.23"/>
    <n v="357.88"/>
    <x v="53"/>
    <n v="-11.06"/>
    <n v="18.79"/>
    <x v="3"/>
    <n v="1"/>
  </r>
  <r>
    <x v="2"/>
    <x v="54"/>
    <s v="Manhattan"/>
    <n v="32"/>
    <x v="54"/>
    <n v="236.45"/>
    <n v="215.86"/>
    <x v="54"/>
    <n v="27.16"/>
    <n v="-109.61"/>
    <x v="2"/>
    <n v="5"/>
  </r>
  <r>
    <x v="2"/>
    <x v="55"/>
    <s v="Manhattan"/>
    <n v="22"/>
    <x v="55"/>
    <n v="585.47"/>
    <n v="672.89"/>
    <x v="55"/>
    <n v="23.66"/>
    <n v="239.41"/>
    <x v="1"/>
    <n v="3"/>
  </r>
  <r>
    <x v="2"/>
    <x v="56"/>
    <s v="Brooklyn"/>
    <n v="14"/>
    <x v="56"/>
    <n v="326.24"/>
    <n v="268.75"/>
    <x v="56"/>
    <n v="20.2"/>
    <n v="-19.82"/>
    <x v="2"/>
    <n v="5"/>
  </r>
  <r>
    <x v="2"/>
    <x v="57"/>
    <s v="Brooklyn"/>
    <n v="14"/>
    <x v="57"/>
    <n v="343.27"/>
    <n v="176.11"/>
    <x v="57"/>
    <n v="19.32"/>
    <n v="-2.79"/>
    <x v="0"/>
    <n v="4"/>
  </r>
  <r>
    <x v="2"/>
    <x v="58"/>
    <s v="Brooklyn"/>
    <n v="13"/>
    <x v="58"/>
    <n v="382.06"/>
    <n v="219.38"/>
    <x v="58"/>
    <n v="16.059999999999999"/>
    <n v="36"/>
    <x v="1"/>
    <n v="3"/>
  </r>
  <r>
    <x v="2"/>
    <x v="59"/>
    <s v="Queens"/>
    <n v="11"/>
    <x v="59"/>
    <n v="197.86"/>
    <n v="101.21"/>
    <x v="59"/>
    <n v="15.91"/>
    <n v="-148.19999999999999"/>
    <x v="0"/>
    <n v="4"/>
  </r>
  <r>
    <x v="2"/>
    <x v="60"/>
    <s v="Manhattan"/>
    <n v="12"/>
    <x v="60"/>
    <n v="313.16000000000003"/>
    <n v="125.57"/>
    <x v="60"/>
    <n v="15.74"/>
    <n v="-32.9"/>
    <x v="0"/>
    <n v="4"/>
  </r>
  <r>
    <x v="2"/>
    <x v="61"/>
    <s v="Manhattan"/>
    <n v="38"/>
    <x v="61"/>
    <n v="360.52"/>
    <n v="255.06"/>
    <x v="61"/>
    <n v="15.72"/>
    <n v="14.46"/>
    <x v="1"/>
    <n v="3"/>
  </r>
  <r>
    <x v="2"/>
    <x v="62"/>
    <s v="Brooklyn"/>
    <n v="10"/>
    <x v="62"/>
    <n v="332.34"/>
    <n v="115.02"/>
    <x v="62"/>
    <n v="14.94"/>
    <n v="-13.72"/>
    <x v="0"/>
    <n v="4"/>
  </r>
  <r>
    <x v="2"/>
    <x v="63"/>
    <s v="Manhattan"/>
    <n v="44"/>
    <x v="63"/>
    <n v="613.5"/>
    <n v="431.35"/>
    <x v="63"/>
    <n v="12.9"/>
    <n v="267.44"/>
    <x v="1"/>
    <n v="3"/>
  </r>
  <r>
    <x v="2"/>
    <x v="64"/>
    <s v="Queens"/>
    <n v="26"/>
    <x v="64"/>
    <n v="270.29000000000002"/>
    <n v="248.9"/>
    <x v="64"/>
    <n v="12.72"/>
    <n v="-75.77"/>
    <x v="2"/>
    <n v="5"/>
  </r>
  <r>
    <x v="2"/>
    <x v="65"/>
    <s v="Manhattan"/>
    <n v="25"/>
    <x v="65"/>
    <n v="432.51"/>
    <n v="244.44"/>
    <x v="65"/>
    <n v="11.43"/>
    <n v="86.45"/>
    <x v="1"/>
    <n v="3"/>
  </r>
  <r>
    <x v="2"/>
    <x v="66"/>
    <s v="Brooklyn"/>
    <n v="15"/>
    <x v="66"/>
    <n v="369.37"/>
    <n v="259.43"/>
    <x v="66"/>
    <n v="11.21"/>
    <n v="23.31"/>
    <x v="1"/>
    <n v="3"/>
  </r>
  <r>
    <x v="2"/>
    <x v="67"/>
    <s v="Brooklyn"/>
    <n v="27"/>
    <x v="67"/>
    <n v="339.58"/>
    <n v="158.4"/>
    <x v="67"/>
    <n v="10.8"/>
    <n v="-6.48"/>
    <x v="0"/>
    <n v="4"/>
  </r>
  <r>
    <x v="2"/>
    <x v="68"/>
    <s v="Manhattan"/>
    <n v="22"/>
    <x v="68"/>
    <n v="603.16999999999996"/>
    <n v="366.12"/>
    <x v="68"/>
    <n v="10.56"/>
    <n v="257.11"/>
    <x v="1"/>
    <n v="3"/>
  </r>
  <r>
    <x v="2"/>
    <x v="69"/>
    <s v="Manhattan"/>
    <n v="61"/>
    <x v="69"/>
    <n v="514.30999999999995"/>
    <n v="503.48"/>
    <x v="69"/>
    <n v="10.36"/>
    <n v="168.25"/>
    <x v="1"/>
    <n v="3"/>
  </r>
  <r>
    <x v="2"/>
    <x v="70"/>
    <s v="Brooklyn"/>
    <n v="56"/>
    <x v="70"/>
    <n v="396.03"/>
    <n v="139.68"/>
    <x v="70"/>
    <n v="8.25"/>
    <n v="49.97"/>
    <x v="1"/>
    <n v="3"/>
  </r>
  <r>
    <x v="2"/>
    <x v="71"/>
    <s v="Brooklyn"/>
    <n v="18"/>
    <x v="71"/>
    <n v="277.18"/>
    <n v="168.94"/>
    <x v="71"/>
    <n v="8.07"/>
    <n v="-68.88"/>
    <x v="0"/>
    <n v="4"/>
  </r>
  <r>
    <x v="2"/>
    <x v="72"/>
    <s v="Queens"/>
    <n v="10"/>
    <x v="72"/>
    <n v="291.05"/>
    <n v="171.62"/>
    <x v="72"/>
    <n v="7.51"/>
    <n v="-55.01"/>
    <x v="0"/>
    <n v="4"/>
  </r>
  <r>
    <x v="2"/>
    <x v="73"/>
    <s v="Brooklyn"/>
    <n v="110"/>
    <x v="73"/>
    <n v="294.89"/>
    <n v="168.21"/>
    <x v="73"/>
    <n v="7.5"/>
    <n v="-51.16"/>
    <x v="0"/>
    <n v="4"/>
  </r>
  <r>
    <x v="2"/>
    <x v="74"/>
    <s v="Brooklyn"/>
    <n v="29"/>
    <x v="74"/>
    <n v="259.69"/>
    <n v="129.52000000000001"/>
    <x v="74"/>
    <n v="7.39"/>
    <n v="-86.37"/>
    <x v="0"/>
    <n v="4"/>
  </r>
  <r>
    <x v="2"/>
    <x v="75"/>
    <s v="Queens"/>
    <n v="22"/>
    <x v="75"/>
    <n v="275.83"/>
    <n v="109.13"/>
    <x v="75"/>
    <n v="6.61"/>
    <n v="-70.23"/>
    <x v="0"/>
    <n v="4"/>
  </r>
  <r>
    <x v="2"/>
    <x v="76"/>
    <s v="Bronx"/>
    <n v="11"/>
    <x v="76"/>
    <n v="141.22999999999999"/>
    <n v="42.98"/>
    <x v="76"/>
    <n v="6.6"/>
    <n v="-204.83"/>
    <x v="0"/>
    <n v="4"/>
  </r>
  <r>
    <x v="2"/>
    <x v="77"/>
    <s v="Manhattan"/>
    <n v="20"/>
    <x v="77"/>
    <n v="352.41"/>
    <n v="248.85"/>
    <x v="77"/>
    <n v="6.2"/>
    <n v="6.35"/>
    <x v="1"/>
    <n v="3"/>
  </r>
  <r>
    <x v="2"/>
    <x v="78"/>
    <s v="Brooklyn"/>
    <n v="45"/>
    <x v="78"/>
    <n v="221.54"/>
    <n v="100.02"/>
    <x v="34"/>
    <n v="5.99"/>
    <n v="-124.52"/>
    <x v="0"/>
    <n v="4"/>
  </r>
  <r>
    <x v="2"/>
    <x v="79"/>
    <s v="Brooklyn"/>
    <n v="276"/>
    <x v="79"/>
    <n v="272.64999999999998"/>
    <n v="160.75"/>
    <x v="78"/>
    <n v="5.91"/>
    <n v="-73.41"/>
    <x v="0"/>
    <n v="4"/>
  </r>
  <r>
    <x v="2"/>
    <x v="80"/>
    <s v="Manhattan"/>
    <n v="85"/>
    <x v="80"/>
    <n v="549.72"/>
    <n v="305.94"/>
    <x v="79"/>
    <n v="5.61"/>
    <n v="203.66"/>
    <x v="1"/>
    <n v="3"/>
  </r>
  <r>
    <x v="2"/>
    <x v="81"/>
    <s v="Brooklyn"/>
    <n v="137"/>
    <x v="81"/>
    <n v="365.89"/>
    <n v="294.26"/>
    <x v="80"/>
    <n v="4.72"/>
    <n v="19.829999999999998"/>
    <x v="1"/>
    <n v="3"/>
  </r>
  <r>
    <x v="2"/>
    <x v="82"/>
    <s v="Manhattan"/>
    <n v="29"/>
    <x v="82"/>
    <n v="298.97000000000003"/>
    <n v="208.23"/>
    <x v="81"/>
    <n v="4.5199999999999996"/>
    <n v="-47.09"/>
    <x v="0"/>
    <n v="4"/>
  </r>
  <r>
    <x v="2"/>
    <x v="83"/>
    <s v="Queens"/>
    <n v="11"/>
    <x v="83"/>
    <n v="203.01"/>
    <n v="74.010000000000005"/>
    <x v="82"/>
    <n v="4.45"/>
    <n v="-143.05000000000001"/>
    <x v="0"/>
    <n v="4"/>
  </r>
  <r>
    <x v="2"/>
    <x v="84"/>
    <s v="Manhattan"/>
    <n v="62"/>
    <x v="84"/>
    <n v="303.13"/>
    <n v="204.78"/>
    <x v="83"/>
    <n v="3.93"/>
    <n v="-42.93"/>
    <x v="0"/>
    <n v="4"/>
  </r>
  <r>
    <x v="2"/>
    <x v="85"/>
    <s v="Manhattan"/>
    <n v="97"/>
    <x v="85"/>
    <n v="486.68"/>
    <n v="414.86"/>
    <x v="84"/>
    <n v="2.17"/>
    <n v="140.62"/>
    <x v="1"/>
    <n v="3"/>
  </r>
  <r>
    <x v="2"/>
    <x v="86"/>
    <s v="Brooklyn"/>
    <n v="111"/>
    <x v="86"/>
    <n v="233.28"/>
    <n v="154.41999999999999"/>
    <x v="85"/>
    <n v="1.93"/>
    <n v="-112.78"/>
    <x v="0"/>
    <n v="4"/>
  </r>
  <r>
    <x v="2"/>
    <x v="87"/>
    <s v="Queens"/>
    <n v="55"/>
    <x v="87"/>
    <n v="759.8"/>
    <n v="2242.0500000000002"/>
    <x v="86"/>
    <n v="1.87"/>
    <n v="413.74"/>
    <x v="1"/>
    <n v="3"/>
  </r>
  <r>
    <x v="2"/>
    <x v="88"/>
    <s v="Manhattan"/>
    <n v="197"/>
    <x v="88"/>
    <n v="411.62"/>
    <n v="452.85"/>
    <x v="87"/>
    <n v="1.54"/>
    <n v="65.56"/>
    <x v="1"/>
    <n v="3"/>
  </r>
  <r>
    <x v="2"/>
    <x v="89"/>
    <s v="Queens"/>
    <n v="11"/>
    <x v="89"/>
    <n v="226.74"/>
    <n v="119.2"/>
    <x v="88"/>
    <n v="1.29"/>
    <n v="-119.32"/>
    <x v="0"/>
    <n v="4"/>
  </r>
  <r>
    <x v="2"/>
    <x v="90"/>
    <s v="Manhattan"/>
    <n v="46"/>
    <x v="89"/>
    <n v="307.36"/>
    <n v="215.19"/>
    <x v="89"/>
    <n v="1.29"/>
    <n v="-38.700000000000003"/>
    <x v="0"/>
    <n v="4"/>
  </r>
  <r>
    <x v="2"/>
    <x v="91"/>
    <s v="Queens"/>
    <n v="23"/>
    <x v="90"/>
    <n v="216.69"/>
    <n v="172.04"/>
    <x v="90"/>
    <n v="0.87"/>
    <n v="-129.37"/>
    <x v="0"/>
    <n v="4"/>
  </r>
  <r>
    <x v="2"/>
    <x v="92"/>
    <s v="Brooklyn"/>
    <n v="48"/>
    <x v="91"/>
    <n v="241.68"/>
    <n v="97.17"/>
    <x v="91"/>
    <n v="0.7"/>
    <n v="-104.38"/>
    <x v="0"/>
    <n v="4"/>
  </r>
  <r>
    <x v="2"/>
    <x v="93"/>
    <s v="Brooklyn"/>
    <n v="30"/>
    <x v="92"/>
    <n v="293.01"/>
    <n v="209.85"/>
    <x v="92"/>
    <n v="0.68"/>
    <n v="-53.05"/>
    <x v="0"/>
    <n v="4"/>
  </r>
  <r>
    <x v="2"/>
    <x v="94"/>
    <s v="Manhattan"/>
    <n v="121"/>
    <x v="93"/>
    <n v="295.86"/>
    <n v="198.96"/>
    <x v="93"/>
    <n v="0.39"/>
    <n v="-50.2"/>
    <x v="0"/>
    <n v="4"/>
  </r>
  <r>
    <x v="2"/>
    <x v="95"/>
    <s v="Queens"/>
    <n v="23"/>
    <x v="94"/>
    <n v="185.29"/>
    <n v="107.66"/>
    <x v="94"/>
    <n v="0.38"/>
    <n v="-160.77000000000001"/>
    <x v="0"/>
    <n v="4"/>
  </r>
  <r>
    <x v="2"/>
    <x v="96"/>
    <s v="Queens"/>
    <n v="59"/>
    <x v="95"/>
    <n v="152.99"/>
    <n v="61.22"/>
    <x v="95"/>
    <n v="-0.04"/>
    <n v="-193.07"/>
    <x v="4"/>
    <n v="2"/>
  </r>
  <r>
    <x v="2"/>
    <x v="97"/>
    <s v="Manhattan"/>
    <n v="111"/>
    <x v="96"/>
    <n v="542.67999999999995"/>
    <n v="315.49"/>
    <x v="96"/>
    <n v="-0.55000000000000004"/>
    <n v="196.62"/>
    <x v="3"/>
    <n v="1"/>
  </r>
  <r>
    <x v="2"/>
    <x v="98"/>
    <s v="Manhattan"/>
    <n v="185"/>
    <x v="97"/>
    <n v="457.3"/>
    <n v="467.69"/>
    <x v="97"/>
    <n v="-0.73"/>
    <n v="111.24"/>
    <x v="3"/>
    <n v="1"/>
  </r>
  <r>
    <x v="2"/>
    <x v="99"/>
    <s v="Brooklyn"/>
    <n v="61"/>
    <x v="98"/>
    <n v="252.62"/>
    <n v="153.26"/>
    <x v="98"/>
    <n v="-1.48"/>
    <n v="-93.44"/>
    <x v="4"/>
    <n v="2"/>
  </r>
  <r>
    <x v="2"/>
    <x v="100"/>
    <s v="Queens"/>
    <n v="25"/>
    <x v="99"/>
    <n v="216.29"/>
    <n v="105.44"/>
    <x v="99"/>
    <n v="-1.8"/>
    <n v="-129.76"/>
    <x v="4"/>
    <n v="2"/>
  </r>
  <r>
    <x v="2"/>
    <x v="101"/>
    <s v="Queens"/>
    <n v="12"/>
    <x v="100"/>
    <n v="177.21"/>
    <n v="74.37"/>
    <x v="100"/>
    <n v="-1.82"/>
    <n v="-168.85"/>
    <x v="4"/>
    <n v="2"/>
  </r>
  <r>
    <x v="2"/>
    <x v="102"/>
    <s v="Queens"/>
    <n v="52"/>
    <x v="101"/>
    <n v="286.44"/>
    <n v="216.63"/>
    <x v="101"/>
    <n v="-1.91"/>
    <n v="-59.62"/>
    <x v="4"/>
    <n v="2"/>
  </r>
  <r>
    <x v="2"/>
    <x v="103"/>
    <s v="Brooklyn"/>
    <n v="25"/>
    <x v="102"/>
    <n v="288.38"/>
    <n v="298"/>
    <x v="102"/>
    <n v="-2.0299999999999998"/>
    <n v="-57.68"/>
    <x v="4"/>
    <n v="2"/>
  </r>
  <r>
    <x v="2"/>
    <x v="104"/>
    <s v="Queens"/>
    <n v="13"/>
    <x v="103"/>
    <n v="140.47"/>
    <n v="44.09"/>
    <x v="103"/>
    <n v="-2.57"/>
    <n v="-205.59"/>
    <x v="4"/>
    <n v="2"/>
  </r>
  <r>
    <x v="2"/>
    <x v="105"/>
    <s v="Manhattan"/>
    <n v="591"/>
    <x v="104"/>
    <n v="447.48"/>
    <n v="459.07"/>
    <x v="104"/>
    <n v="-2.71"/>
    <n v="101.42"/>
    <x v="3"/>
    <n v="1"/>
  </r>
  <r>
    <x v="2"/>
    <x v="106"/>
    <s v="Brooklyn"/>
    <n v="94"/>
    <x v="105"/>
    <n v="271.08"/>
    <n v="183.89"/>
    <x v="105"/>
    <n v="-3.35"/>
    <n v="-74.98"/>
    <x v="4"/>
    <n v="2"/>
  </r>
  <r>
    <x v="2"/>
    <x v="107"/>
    <s v="Queens"/>
    <n v="41"/>
    <x v="106"/>
    <n v="187.41"/>
    <n v="103.41"/>
    <x v="106"/>
    <n v="-3.54"/>
    <n v="-158.65"/>
    <x v="4"/>
    <n v="2"/>
  </r>
  <r>
    <x v="2"/>
    <x v="108"/>
    <s v="Queens"/>
    <n v="14"/>
    <x v="107"/>
    <n v="244.44"/>
    <n v="129.72"/>
    <x v="107"/>
    <n v="-4.22"/>
    <n v="-101.62"/>
    <x v="4"/>
    <n v="2"/>
  </r>
  <r>
    <x v="2"/>
    <x v="109"/>
    <s v="Manhattan"/>
    <n v="34"/>
    <x v="108"/>
    <n v="605.84"/>
    <n v="506.04"/>
    <x v="108"/>
    <n v="-6.05"/>
    <n v="259.77999999999997"/>
    <x v="3"/>
    <n v="1"/>
  </r>
  <r>
    <x v="2"/>
    <x v="110"/>
    <s v="Manhattan"/>
    <n v="129"/>
    <x v="109"/>
    <n v="414.11"/>
    <n v="255.98"/>
    <x v="109"/>
    <n v="-6.74"/>
    <n v="68.05"/>
    <x v="3"/>
    <n v="1"/>
  </r>
  <r>
    <x v="2"/>
    <x v="111"/>
    <s v="Queens"/>
    <n v="57"/>
    <x v="110"/>
    <n v="188.98"/>
    <n v="81.56"/>
    <x v="110"/>
    <n v="-7.28"/>
    <n v="-157.07"/>
    <x v="4"/>
    <n v="2"/>
  </r>
  <r>
    <x v="2"/>
    <x v="112"/>
    <s v="Queens"/>
    <n v="19"/>
    <x v="111"/>
    <n v="159.22"/>
    <n v="50.81"/>
    <x v="111"/>
    <n v="-8.25"/>
    <n v="-186.84"/>
    <x v="4"/>
    <n v="2"/>
  </r>
  <r>
    <x v="2"/>
    <x v="113"/>
    <s v="Bronx"/>
    <n v="14"/>
    <x v="112"/>
    <n v="226.33"/>
    <n v="88.16"/>
    <x v="112"/>
    <n v="-10.56"/>
    <n v="-119.73"/>
    <x v="4"/>
    <n v="2"/>
  </r>
  <r>
    <x v="2"/>
    <x v="114"/>
    <s v="Brooklyn"/>
    <n v="16"/>
    <x v="113"/>
    <n v="295.13"/>
    <n v="118.59"/>
    <x v="113"/>
    <n v="-10.57"/>
    <n v="-50.93"/>
    <x v="4"/>
    <n v="2"/>
  </r>
  <r>
    <x v="2"/>
    <x v="115"/>
    <s v="Queens"/>
    <n v="11"/>
    <x v="114"/>
    <n v="130.25"/>
    <n v="90.58"/>
    <x v="114"/>
    <n v="-12.06"/>
    <n v="-215.81"/>
    <x v="4"/>
    <n v="2"/>
  </r>
  <r>
    <x v="2"/>
    <x v="116"/>
    <s v="Queens"/>
    <n v="27"/>
    <x v="115"/>
    <n v="247.65"/>
    <n v="159.4"/>
    <x v="115"/>
    <n v="-12.07"/>
    <n v="-98.41"/>
    <x v="4"/>
    <n v="2"/>
  </r>
  <r>
    <x v="2"/>
    <x v="117"/>
    <s v="Queens"/>
    <n v="37"/>
    <x v="116"/>
    <n v="240.47"/>
    <n v="127.37"/>
    <x v="116"/>
    <n v="-12.15"/>
    <n v="-105.59"/>
    <x v="4"/>
    <n v="2"/>
  </r>
  <r>
    <x v="2"/>
    <x v="118"/>
    <s v="Queens"/>
    <n v="10"/>
    <x v="117"/>
    <n v="193.27"/>
    <n v="130.09"/>
    <x v="117"/>
    <n v="-12.18"/>
    <n v="-152.79"/>
    <x v="4"/>
    <n v="2"/>
  </r>
  <r>
    <x v="2"/>
    <x v="119"/>
    <s v="Queens"/>
    <n v="12"/>
    <x v="118"/>
    <n v="224.96"/>
    <n v="81.459999999999994"/>
    <x v="118"/>
    <n v="-12.44"/>
    <n v="-121.1"/>
    <x v="4"/>
    <n v="2"/>
  </r>
  <r>
    <x v="2"/>
    <x v="120"/>
    <s v="Brooklyn"/>
    <n v="64"/>
    <x v="119"/>
    <n v="239.68"/>
    <n v="110.47"/>
    <x v="119"/>
    <n v="-13.12"/>
    <n v="-106.38"/>
    <x v="4"/>
    <n v="2"/>
  </r>
  <r>
    <x v="2"/>
    <x v="121"/>
    <s v="Manhattan"/>
    <n v="11"/>
    <x v="120"/>
    <n v="610.91"/>
    <n v="240.14"/>
    <x v="120"/>
    <n v="-14.15"/>
    <n v="264.85000000000002"/>
    <x v="3"/>
    <n v="1"/>
  </r>
  <r>
    <x v="2"/>
    <x v="122"/>
    <s v="Brooklyn"/>
    <n v="18"/>
    <x v="121"/>
    <n v="185.46"/>
    <n v="62.4"/>
    <x v="121"/>
    <n v="-16.739999999999998"/>
    <n v="-160.6"/>
    <x v="4"/>
    <n v="2"/>
  </r>
  <r>
    <x v="2"/>
    <x v="123"/>
    <s v="Brooklyn"/>
    <n v="22"/>
    <x v="122"/>
    <n v="219.02"/>
    <n v="101.38"/>
    <x v="122"/>
    <n v="-17.64"/>
    <n v="-127.04"/>
    <x v="4"/>
    <n v="2"/>
  </r>
  <r>
    <x v="2"/>
    <x v="124"/>
    <s v="Queens"/>
    <n v="28"/>
    <x v="123"/>
    <n v="241.86"/>
    <n v="117.42"/>
    <x v="123"/>
    <n v="-19.399999999999999"/>
    <n v="-104.2"/>
    <x v="4"/>
    <n v="2"/>
  </r>
  <r>
    <x v="2"/>
    <x v="125"/>
    <s v="Brooklyn"/>
    <n v="68"/>
    <x v="124"/>
    <n v="156.07"/>
    <n v="73.069999999999993"/>
    <x v="124"/>
    <n v="-19.440000000000001"/>
    <n v="-189.99"/>
    <x v="4"/>
    <n v="2"/>
  </r>
  <r>
    <x v="2"/>
    <x v="126"/>
    <s v="Queens"/>
    <n v="11"/>
    <x v="125"/>
    <n v="174.48"/>
    <n v="80.22"/>
    <x v="125"/>
    <n v="-25.09"/>
    <n v="-171.58"/>
    <x v="4"/>
    <n v="2"/>
  </r>
  <r>
    <x v="2"/>
    <x v="127"/>
    <s v="Manhattan"/>
    <n v="12"/>
    <x v="126"/>
    <n v="288.95999999999998"/>
    <n v="103.7"/>
    <x v="126"/>
    <n v="-31.36"/>
    <n v="-57.1"/>
    <x v="4"/>
    <n v="2"/>
  </r>
  <r>
    <x v="2"/>
    <x v="128"/>
    <s v="Bronx"/>
    <n v="17"/>
    <x v="127"/>
    <n v="186.54"/>
    <n v="39.04"/>
    <x v="127"/>
    <n v="-34.86"/>
    <n v="-159.52000000000001"/>
    <x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9CC46D-E97E-DF42-9894-BB8788C92E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61" firstHeaderRow="0" firstDataRow="1" firstDataCol="1" rowPageCount="1" colPageCount="1"/>
  <pivotFields count="15">
    <pivotField axis="axisRow" showAll="0">
      <items count="4">
        <item x="0"/>
        <item x="1"/>
        <item x="2"/>
        <item t="default"/>
      </items>
    </pivotField>
    <pivotField axis="axisRow" showAll="0">
      <items count="130">
        <item x="30"/>
        <item x="9"/>
        <item x="72"/>
        <item x="102"/>
        <item x="17"/>
        <item x="11"/>
        <item x="25"/>
        <item x="79"/>
        <item x="3"/>
        <item x="66"/>
        <item x="21"/>
        <item x="103"/>
        <item x="86"/>
        <item x="37"/>
        <item x="119"/>
        <item x="120"/>
        <item x="62"/>
        <item x="53"/>
        <item x="46"/>
        <item x="94"/>
        <item x="84"/>
        <item x="16"/>
        <item x="71"/>
        <item x="59"/>
        <item x="76"/>
        <item x="115"/>
        <item x="4"/>
        <item x="81"/>
        <item x="10"/>
        <item x="1"/>
        <item x="93"/>
        <item x="20"/>
        <item x="100"/>
        <item x="122"/>
        <item x="22"/>
        <item x="107"/>
        <item x="106"/>
        <item x="90"/>
        <item x="99"/>
        <item x="32"/>
        <item x="61"/>
        <item x="104"/>
        <item x="18"/>
        <item x="97"/>
        <item x="92"/>
        <item x="127"/>
        <item x="123"/>
        <item x="96"/>
        <item x="57"/>
        <item x="125"/>
        <item x="49"/>
        <item x="39"/>
        <item x="118"/>
        <item x="29"/>
        <item x="56"/>
        <item x="54"/>
        <item x="70"/>
        <item x="121"/>
        <item x="8"/>
        <item x="88"/>
        <item x="98"/>
        <item x="35"/>
        <item x="19"/>
        <item x="0"/>
        <item x="12"/>
        <item x="112"/>
        <item x="111"/>
        <item x="77"/>
        <item x="6"/>
        <item x="52"/>
        <item x="45"/>
        <item x="89"/>
        <item x="34"/>
        <item x="65"/>
        <item x="87"/>
        <item x="85"/>
        <item x="43"/>
        <item x="24"/>
        <item x="40"/>
        <item x="36"/>
        <item x="83"/>
        <item x="23"/>
        <item x="47"/>
        <item x="105"/>
        <item x="5"/>
        <item x="44"/>
        <item x="38"/>
        <item x="15"/>
        <item x="113"/>
        <item x="109"/>
        <item x="26"/>
        <item x="60"/>
        <item x="67"/>
        <item x="128"/>
        <item x="58"/>
        <item x="74"/>
        <item x="126"/>
        <item x="91"/>
        <item x="75"/>
        <item x="116"/>
        <item x="33"/>
        <item x="114"/>
        <item x="69"/>
        <item x="124"/>
        <item x="117"/>
        <item x="95"/>
        <item x="50"/>
        <item x="41"/>
        <item x="48"/>
        <item x="64"/>
        <item x="78"/>
        <item x="110"/>
        <item x="13"/>
        <item x="7"/>
        <item x="42"/>
        <item x="28"/>
        <item x="68"/>
        <item x="51"/>
        <item x="63"/>
        <item x="80"/>
        <item x="27"/>
        <item x="2"/>
        <item x="82"/>
        <item x="31"/>
        <item x="55"/>
        <item x="73"/>
        <item x="101"/>
        <item x="108"/>
        <item x="14"/>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axis="axisPage" multipleItemSelectionAllowed="1" showAll="0">
      <items count="5">
        <item x="0"/>
        <item h="1" x="2"/>
        <item h="1" x="1"/>
        <item h="1" x="3"/>
        <item t="default"/>
      </items>
    </pivotField>
    <pivotField showAll="0"/>
  </pivotFields>
  <rowFields count="2">
    <field x="0"/>
    <field x="1"/>
  </rowFields>
  <rowItems count="58">
    <i>
      <x/>
    </i>
    <i r="1">
      <x v="8"/>
    </i>
    <i r="1">
      <x v="26"/>
    </i>
    <i r="1">
      <x v="63"/>
    </i>
    <i r="1">
      <x v="121"/>
    </i>
    <i>
      <x v="1"/>
    </i>
    <i r="1">
      <x/>
    </i>
    <i r="1">
      <x v="4"/>
    </i>
    <i r="1">
      <x v="6"/>
    </i>
    <i r="1">
      <x v="10"/>
    </i>
    <i r="1">
      <x v="13"/>
    </i>
    <i r="1">
      <x v="21"/>
    </i>
    <i r="1">
      <x v="31"/>
    </i>
    <i r="1">
      <x v="34"/>
    </i>
    <i r="1">
      <x v="42"/>
    </i>
    <i r="1">
      <x v="51"/>
    </i>
    <i r="1">
      <x v="53"/>
    </i>
    <i r="1">
      <x v="61"/>
    </i>
    <i r="1">
      <x v="62"/>
    </i>
    <i r="1">
      <x v="70"/>
    </i>
    <i r="1">
      <x v="72"/>
    </i>
    <i r="1">
      <x v="77"/>
    </i>
    <i r="1">
      <x v="79"/>
    </i>
    <i r="1">
      <x v="81"/>
    </i>
    <i r="1">
      <x v="86"/>
    </i>
    <i r="1">
      <x v="90"/>
    </i>
    <i r="1">
      <x v="100"/>
    </i>
    <i r="1">
      <x v="107"/>
    </i>
    <i r="1">
      <x v="123"/>
    </i>
    <i>
      <x v="2"/>
    </i>
    <i r="1">
      <x v="2"/>
    </i>
    <i r="1">
      <x v="7"/>
    </i>
    <i r="1">
      <x v="12"/>
    </i>
    <i r="1">
      <x v="16"/>
    </i>
    <i r="1">
      <x v="19"/>
    </i>
    <i r="1">
      <x v="20"/>
    </i>
    <i r="1">
      <x v="22"/>
    </i>
    <i r="1">
      <x v="23"/>
    </i>
    <i r="1">
      <x v="24"/>
    </i>
    <i r="1">
      <x v="30"/>
    </i>
    <i r="1">
      <x v="37"/>
    </i>
    <i r="1">
      <x v="44"/>
    </i>
    <i r="1">
      <x v="48"/>
    </i>
    <i r="1">
      <x v="54"/>
    </i>
    <i r="1">
      <x v="55"/>
    </i>
    <i r="1">
      <x v="71"/>
    </i>
    <i r="1">
      <x v="80"/>
    </i>
    <i r="1">
      <x v="91"/>
    </i>
    <i r="1">
      <x v="92"/>
    </i>
    <i r="1">
      <x v="95"/>
    </i>
    <i r="1">
      <x v="97"/>
    </i>
    <i r="1">
      <x v="98"/>
    </i>
    <i r="1">
      <x v="105"/>
    </i>
    <i r="1">
      <x v="109"/>
    </i>
    <i r="1">
      <x v="110"/>
    </i>
    <i r="1">
      <x v="122"/>
    </i>
    <i r="1">
      <x v="125"/>
    </i>
    <i t="grand">
      <x/>
    </i>
  </rowItems>
  <colFields count="1">
    <field x="-2"/>
  </colFields>
  <colItems count="3">
    <i>
      <x/>
    </i>
    <i i="1">
      <x v="1"/>
    </i>
    <i i="2">
      <x v="2"/>
    </i>
  </colItems>
  <pageFields count="1">
    <pageField fld="13" hier="-1"/>
  </pageFields>
  <dataFields count="3">
    <dataField name="Listings" fld="3" baseField="0" baseItem="0"/>
    <dataField name="Avg Price (USD)" fld="5" subtotal="average" baseField="0" baseItem="0"/>
    <dataField name="Avg Occupancy" fld="4" subtotal="average" baseField="0" baseItem="0" numFmtId="10"/>
  </dataFields>
  <chartFormats count="3">
    <chartFormat chart="0" format="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B6EFF1-3D64-B749-B8C6-0D32D3D6F03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9" firstHeaderRow="1" firstDataRow="2" firstDataCol="1" rowPageCount="1" colPageCount="1"/>
  <pivotFields count="7">
    <pivotField axis="axisCol" showAll="0">
      <items count="4">
        <item x="0"/>
        <item x="1"/>
        <item x="2"/>
        <item t="default"/>
      </items>
    </pivotField>
    <pivotField axis="axisRow" showAll="0">
      <items count="13">
        <item x="0"/>
        <item x="1"/>
        <item x="2"/>
        <item x="3"/>
        <item x="4"/>
        <item x="5"/>
        <item x="6"/>
        <item x="7"/>
        <item x="8"/>
        <item x="9"/>
        <item x="10"/>
        <item x="11"/>
        <item t="default"/>
      </items>
    </pivotField>
    <pivotField axis="axisRow" showAll="0">
      <items count="13">
        <item x="8"/>
        <item x="3"/>
        <item x="7"/>
        <item x="11"/>
        <item x="1"/>
        <item x="0"/>
        <item x="6"/>
        <item x="5"/>
        <item x="2"/>
        <item x="4"/>
        <item x="10"/>
        <item x="9"/>
        <item t="default"/>
      </items>
    </pivotField>
    <pivotField dataField="1" showAll="0"/>
    <pivotField showAll="0"/>
    <pivotField axis="axisPage" showAll="0">
      <items count="5">
        <item x="0"/>
        <item x="3"/>
        <item x="2"/>
        <item x="1"/>
        <item t="default"/>
      </items>
    </pivotField>
    <pivotField showAll="0"/>
  </pivotFields>
  <rowFields count="2">
    <field x="1"/>
    <field x="2"/>
  </rowFields>
  <rowItems count="25">
    <i>
      <x/>
    </i>
    <i r="1">
      <x v="5"/>
    </i>
    <i>
      <x v="1"/>
    </i>
    <i r="1">
      <x v="4"/>
    </i>
    <i>
      <x v="2"/>
    </i>
    <i r="1">
      <x v="8"/>
    </i>
    <i>
      <x v="3"/>
    </i>
    <i r="1">
      <x v="1"/>
    </i>
    <i>
      <x v="4"/>
    </i>
    <i r="1">
      <x v="9"/>
    </i>
    <i>
      <x v="5"/>
    </i>
    <i r="1">
      <x v="7"/>
    </i>
    <i>
      <x v="6"/>
    </i>
    <i r="1">
      <x v="6"/>
    </i>
    <i>
      <x v="7"/>
    </i>
    <i r="1">
      <x v="2"/>
    </i>
    <i>
      <x v="8"/>
    </i>
    <i r="1">
      <x/>
    </i>
    <i>
      <x v="9"/>
    </i>
    <i r="1">
      <x v="11"/>
    </i>
    <i>
      <x v="10"/>
    </i>
    <i r="1">
      <x v="10"/>
    </i>
    <i>
      <x v="11"/>
    </i>
    <i r="1">
      <x v="3"/>
    </i>
    <i t="grand">
      <x/>
    </i>
  </rowItems>
  <colFields count="1">
    <field x="0"/>
  </colFields>
  <colItems count="4">
    <i>
      <x/>
    </i>
    <i>
      <x v="1"/>
    </i>
    <i>
      <x v="2"/>
    </i>
    <i t="grand">
      <x/>
    </i>
  </colItems>
  <pageFields count="1">
    <pageField fld="5" hier="-1"/>
  </pageFields>
  <dataFields count="1">
    <dataField name="Booked Nights (Sum)" fld="3"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3F31A-9B49-FF47-9EDE-F41F0BA2462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10" firstHeaderRow="1" firstDataRow="2" firstDataCol="1" rowPageCount="2" colPageCount="1"/>
  <pivotFields count="11">
    <pivotField axis="axisCol" showAll="0">
      <items count="3">
        <item x="0"/>
        <item x="1"/>
        <item t="default"/>
      </items>
    </pivotField>
    <pivotField axis="axisRow" showAll="0">
      <items count="5">
        <item x="1"/>
        <item x="0"/>
        <item x="2"/>
        <item x="3"/>
        <item t="default"/>
      </items>
    </pivotField>
    <pivotField axis="axisPage" multipleItemSelectionAllowed="1" showAll="0">
      <items count="4">
        <item h="1" x="2"/>
        <item h="1" x="1"/>
        <item x="0"/>
        <item t="default"/>
      </items>
    </pivotField>
    <pivotField showAll="0"/>
    <pivotField axis="axisPage" multipleItemSelectionAllowed="1" showAll="0">
      <items count="3">
        <item h="1" x="1"/>
        <item x="0"/>
        <item t="default"/>
      </items>
    </pivotField>
    <pivotField showAll="0"/>
    <pivotField showAll="0"/>
    <pivotField dataField="1" showAll="0"/>
    <pivotField showAll="0"/>
    <pivotField showAll="0"/>
    <pivotField showAll="0"/>
  </pivotFields>
  <rowFields count="1">
    <field x="1"/>
  </rowFields>
  <rowItems count="5">
    <i>
      <x/>
    </i>
    <i>
      <x v="1"/>
    </i>
    <i>
      <x v="2"/>
    </i>
    <i>
      <x v="3"/>
    </i>
    <i t="grand">
      <x/>
    </i>
  </rowItems>
  <colFields count="1">
    <field x="0"/>
  </colFields>
  <colItems count="3">
    <i>
      <x/>
    </i>
    <i>
      <x v="1"/>
    </i>
    <i t="grand">
      <x/>
    </i>
  </colItems>
  <pageFields count="2">
    <pageField fld="2" hier="-1"/>
    <pageField fld="4" hier="-1"/>
  </pageFields>
  <dataFields count="1">
    <dataField name="Avg Occupancy" fld="7" subtotal="average"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A226F-C66C-D544-BCF5-B65980A929D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36" firstHeaderRow="0" firstDataRow="1" firstDataCol="1" rowPageCount="1" colPageCount="1"/>
  <pivotFields count="12">
    <pivotField axis="axisRow" showAll="0">
      <items count="4">
        <item x="0"/>
        <item x="1"/>
        <item x="2"/>
        <item t="default"/>
      </items>
    </pivotField>
    <pivotField axis="axisRow" showAll="0">
      <items count="130">
        <item x="30"/>
        <item x="9"/>
        <item x="72"/>
        <item x="102"/>
        <item x="17"/>
        <item x="11"/>
        <item x="25"/>
        <item x="79"/>
        <item x="3"/>
        <item x="66"/>
        <item x="21"/>
        <item x="103"/>
        <item x="86"/>
        <item x="37"/>
        <item x="119"/>
        <item x="120"/>
        <item x="62"/>
        <item x="53"/>
        <item x="46"/>
        <item x="94"/>
        <item x="84"/>
        <item x="16"/>
        <item x="71"/>
        <item x="59"/>
        <item x="76"/>
        <item x="115"/>
        <item x="4"/>
        <item x="81"/>
        <item x="10"/>
        <item x="1"/>
        <item x="93"/>
        <item x="20"/>
        <item x="100"/>
        <item x="122"/>
        <item x="22"/>
        <item x="107"/>
        <item x="106"/>
        <item x="90"/>
        <item x="99"/>
        <item x="32"/>
        <item x="61"/>
        <item x="104"/>
        <item x="18"/>
        <item x="97"/>
        <item x="92"/>
        <item x="127"/>
        <item x="123"/>
        <item x="96"/>
        <item x="57"/>
        <item x="125"/>
        <item x="49"/>
        <item x="39"/>
        <item x="118"/>
        <item x="29"/>
        <item x="56"/>
        <item x="54"/>
        <item x="70"/>
        <item x="121"/>
        <item x="8"/>
        <item x="88"/>
        <item x="98"/>
        <item x="35"/>
        <item x="19"/>
        <item x="0"/>
        <item x="12"/>
        <item x="112"/>
        <item x="111"/>
        <item x="77"/>
        <item x="6"/>
        <item x="52"/>
        <item x="45"/>
        <item x="89"/>
        <item x="34"/>
        <item x="65"/>
        <item x="87"/>
        <item x="85"/>
        <item x="43"/>
        <item x="24"/>
        <item x="40"/>
        <item x="36"/>
        <item x="83"/>
        <item x="23"/>
        <item x="47"/>
        <item x="105"/>
        <item x="5"/>
        <item x="44"/>
        <item x="38"/>
        <item x="15"/>
        <item x="113"/>
        <item x="109"/>
        <item x="26"/>
        <item x="60"/>
        <item x="67"/>
        <item x="128"/>
        <item x="58"/>
        <item x="74"/>
        <item x="126"/>
        <item x="91"/>
        <item x="75"/>
        <item x="116"/>
        <item x="33"/>
        <item x="114"/>
        <item x="69"/>
        <item x="124"/>
        <item x="117"/>
        <item x="95"/>
        <item x="50"/>
        <item x="41"/>
        <item x="48"/>
        <item x="64"/>
        <item x="78"/>
        <item x="110"/>
        <item x="13"/>
        <item x="7"/>
        <item x="42"/>
        <item x="28"/>
        <item x="68"/>
        <item x="51"/>
        <item x="63"/>
        <item x="80"/>
        <item x="27"/>
        <item x="2"/>
        <item x="82"/>
        <item x="31"/>
        <item x="55"/>
        <item x="73"/>
        <item x="101"/>
        <item x="108"/>
        <item x="14"/>
        <item t="default"/>
      </items>
    </pivotField>
    <pivotField showAll="0"/>
    <pivotField showAll="0"/>
    <pivotField dataField="1" showAll="0"/>
    <pivotField showAll="0"/>
    <pivotField showAll="0"/>
    <pivotField dataField="1" showAll="0"/>
    <pivotField showAll="0"/>
    <pivotField showAll="0"/>
    <pivotField axis="axisPage" showAll="0">
      <items count="6">
        <item x="0"/>
        <item x="2"/>
        <item x="1"/>
        <item x="4"/>
        <item x="3"/>
        <item t="default"/>
      </items>
    </pivotField>
    <pivotField showAll="0"/>
  </pivotFields>
  <rowFields count="2">
    <field x="0"/>
    <field x="1"/>
  </rowFields>
  <rowItems count="133">
    <i>
      <x/>
    </i>
    <i r="1">
      <x v="1"/>
    </i>
    <i r="1">
      <x v="5"/>
    </i>
    <i r="1">
      <x v="8"/>
    </i>
    <i r="1">
      <x v="26"/>
    </i>
    <i r="1">
      <x v="28"/>
    </i>
    <i r="1">
      <x v="29"/>
    </i>
    <i r="1">
      <x v="58"/>
    </i>
    <i r="1">
      <x v="63"/>
    </i>
    <i r="1">
      <x v="64"/>
    </i>
    <i r="1">
      <x v="68"/>
    </i>
    <i r="1">
      <x v="84"/>
    </i>
    <i r="1">
      <x v="87"/>
    </i>
    <i r="1">
      <x v="112"/>
    </i>
    <i r="1">
      <x v="113"/>
    </i>
    <i r="1">
      <x v="121"/>
    </i>
    <i r="1">
      <x v="128"/>
    </i>
    <i>
      <x v="1"/>
    </i>
    <i r="1">
      <x/>
    </i>
    <i r="1">
      <x v="4"/>
    </i>
    <i r="1">
      <x v="6"/>
    </i>
    <i r="1">
      <x v="10"/>
    </i>
    <i r="1">
      <x v="13"/>
    </i>
    <i r="1">
      <x v="17"/>
    </i>
    <i r="1">
      <x v="18"/>
    </i>
    <i r="1">
      <x v="21"/>
    </i>
    <i r="1">
      <x v="31"/>
    </i>
    <i r="1">
      <x v="34"/>
    </i>
    <i r="1">
      <x v="39"/>
    </i>
    <i r="1">
      <x v="42"/>
    </i>
    <i r="1">
      <x v="50"/>
    </i>
    <i r="1">
      <x v="51"/>
    </i>
    <i r="1">
      <x v="53"/>
    </i>
    <i r="1">
      <x v="61"/>
    </i>
    <i r="1">
      <x v="62"/>
    </i>
    <i r="1">
      <x v="69"/>
    </i>
    <i r="1">
      <x v="70"/>
    </i>
    <i r="1">
      <x v="72"/>
    </i>
    <i r="1">
      <x v="76"/>
    </i>
    <i r="1">
      <x v="77"/>
    </i>
    <i r="1">
      <x v="78"/>
    </i>
    <i r="1">
      <x v="79"/>
    </i>
    <i r="1">
      <x v="81"/>
    </i>
    <i r="1">
      <x v="82"/>
    </i>
    <i r="1">
      <x v="85"/>
    </i>
    <i r="1">
      <x v="86"/>
    </i>
    <i r="1">
      <x v="90"/>
    </i>
    <i r="1">
      <x v="100"/>
    </i>
    <i r="1">
      <x v="106"/>
    </i>
    <i r="1">
      <x v="107"/>
    </i>
    <i r="1">
      <x v="108"/>
    </i>
    <i r="1">
      <x v="114"/>
    </i>
    <i r="1">
      <x v="115"/>
    </i>
    <i r="1">
      <x v="117"/>
    </i>
    <i r="1">
      <x v="120"/>
    </i>
    <i r="1">
      <x v="123"/>
    </i>
    <i>
      <x v="2"/>
    </i>
    <i r="1">
      <x v="2"/>
    </i>
    <i r="1">
      <x v="3"/>
    </i>
    <i r="1">
      <x v="7"/>
    </i>
    <i r="1">
      <x v="9"/>
    </i>
    <i r="1">
      <x v="11"/>
    </i>
    <i r="1">
      <x v="12"/>
    </i>
    <i r="1">
      <x v="14"/>
    </i>
    <i r="1">
      <x v="15"/>
    </i>
    <i r="1">
      <x v="16"/>
    </i>
    <i r="1">
      <x v="19"/>
    </i>
    <i r="1">
      <x v="20"/>
    </i>
    <i r="1">
      <x v="22"/>
    </i>
    <i r="1">
      <x v="23"/>
    </i>
    <i r="1">
      <x v="24"/>
    </i>
    <i r="1">
      <x v="25"/>
    </i>
    <i r="1">
      <x v="27"/>
    </i>
    <i r="1">
      <x v="30"/>
    </i>
    <i r="1">
      <x v="32"/>
    </i>
    <i r="1">
      <x v="33"/>
    </i>
    <i r="1">
      <x v="35"/>
    </i>
    <i r="1">
      <x v="36"/>
    </i>
    <i r="1">
      <x v="37"/>
    </i>
    <i r="1">
      <x v="38"/>
    </i>
    <i r="1">
      <x v="40"/>
    </i>
    <i r="1">
      <x v="41"/>
    </i>
    <i r="1">
      <x v="43"/>
    </i>
    <i r="1">
      <x v="44"/>
    </i>
    <i r="1">
      <x v="45"/>
    </i>
    <i r="1">
      <x v="46"/>
    </i>
    <i r="1">
      <x v="47"/>
    </i>
    <i r="1">
      <x v="48"/>
    </i>
    <i r="1">
      <x v="49"/>
    </i>
    <i r="1">
      <x v="52"/>
    </i>
    <i r="1">
      <x v="54"/>
    </i>
    <i r="1">
      <x v="55"/>
    </i>
    <i r="1">
      <x v="56"/>
    </i>
    <i r="1">
      <x v="57"/>
    </i>
    <i r="1">
      <x v="59"/>
    </i>
    <i r="1">
      <x v="60"/>
    </i>
    <i r="1">
      <x v="65"/>
    </i>
    <i r="1">
      <x v="66"/>
    </i>
    <i r="1">
      <x v="67"/>
    </i>
    <i r="1">
      <x v="71"/>
    </i>
    <i r="1">
      <x v="73"/>
    </i>
    <i r="1">
      <x v="74"/>
    </i>
    <i r="1">
      <x v="75"/>
    </i>
    <i r="1">
      <x v="80"/>
    </i>
    <i r="1">
      <x v="83"/>
    </i>
    <i r="1">
      <x v="88"/>
    </i>
    <i r="1">
      <x v="89"/>
    </i>
    <i r="1">
      <x v="91"/>
    </i>
    <i r="1">
      <x v="92"/>
    </i>
    <i r="1">
      <x v="93"/>
    </i>
    <i r="1">
      <x v="94"/>
    </i>
    <i r="1">
      <x v="95"/>
    </i>
    <i r="1">
      <x v="96"/>
    </i>
    <i r="1">
      <x v="97"/>
    </i>
    <i r="1">
      <x v="98"/>
    </i>
    <i r="1">
      <x v="99"/>
    </i>
    <i r="1">
      <x v="101"/>
    </i>
    <i r="1">
      <x v="102"/>
    </i>
    <i r="1">
      <x v="103"/>
    </i>
    <i r="1">
      <x v="104"/>
    </i>
    <i r="1">
      <x v="105"/>
    </i>
    <i r="1">
      <x v="109"/>
    </i>
    <i r="1">
      <x v="110"/>
    </i>
    <i r="1">
      <x v="111"/>
    </i>
    <i r="1">
      <x v="116"/>
    </i>
    <i r="1">
      <x v="118"/>
    </i>
    <i r="1">
      <x v="119"/>
    </i>
    <i r="1">
      <x v="122"/>
    </i>
    <i r="1">
      <x v="124"/>
    </i>
    <i r="1">
      <x v="125"/>
    </i>
    <i r="1">
      <x v="126"/>
    </i>
    <i r="1">
      <x v="127"/>
    </i>
    <i t="grand">
      <x/>
    </i>
  </rowItems>
  <colFields count="1">
    <field x="-2"/>
  </colFields>
  <colItems count="2">
    <i>
      <x/>
    </i>
    <i i="1">
      <x v="1"/>
    </i>
  </colItems>
  <pageFields count="1">
    <pageField fld="10" hier="-1"/>
  </pageFields>
  <dataFields count="2">
    <dataField name="Avg Occupancy" fld="4" subtotal="average" baseField="0" baseItem="0" numFmtId="164"/>
    <dataField name="Price Volatility (CV)" fld="7" subtotal="average" baseField="0" baseItem="0" numFmtId="2"/>
  </dataFields>
  <chartFormats count="2">
    <chartFormat chart="4"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8FDD30-F8E3-0E4F-91F9-BB31061379AF}" autoFormatId="16" applyNumberFormats="0" applyBorderFormats="0" applyFontFormats="0" applyPatternFormats="0" applyAlignmentFormats="0" applyWidthHeightFormats="0">
  <queryTableRefresh nextId="19" unboundColumnsRight="4">
    <queryTableFields count="15">
      <queryTableField id="1" name="city" tableColumnId="1"/>
      <queryTableField id="2" name="neighbourhood" tableColumnId="2"/>
      <queryTableField id="3" name="area" tableColumnId="3"/>
      <queryTableField id="4" name="supply_count" tableColumnId="4"/>
      <queryTableField id="5" name="avg_occupancy" tableColumnId="5"/>
      <queryTableField id="16" dataBound="0" tableColumnId="17"/>
      <queryTableField id="7" name="avg_reviews_per_month" tableColumnId="7"/>
      <queryTableField id="8" name="avg_rating" tableColumnId="8"/>
      <queryTableField id="9" name="occupancy_tier" tableColumnId="9"/>
      <queryTableField id="10" name="pricing_tier" tableColumnId="10"/>
      <queryTableField id="11" name="market_signal" tableColumnId="11"/>
      <queryTableField id="12" dataBound="0" tableColumnId="12"/>
      <queryTableField id="13" dataBound="0" tableColumnId="13"/>
      <queryTableField id="14" dataBound="0" tableColumnId="14"/>
      <queryTableField id="17" dataBound="0" tableColumnId="18"/>
    </queryTableFields>
    <queryTableDeletedFields count="1">
      <deletedField name="avg_pric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0EAB2D1-E271-B944-B50C-3644D25675F9}" autoFormatId="16" applyNumberFormats="0" applyBorderFormats="0" applyFontFormats="0" applyPatternFormats="0" applyAlignmentFormats="0" applyWidthHeightFormats="0">
  <queryTableRefresh nextId="8">
    <queryTableFields count="7">
      <queryTableField id="1" name="city" tableColumnId="1"/>
      <queryTableField id="2" name="month_number" tableColumnId="2"/>
      <queryTableField id="3" name="month_name" tableColumnId="3"/>
      <queryTableField id="4" name="booked_nights" tableColumnId="4"/>
      <queryTableField id="5" name="pct_of_peak" tableColumnId="5"/>
      <queryTableField id="6" name="season_type" tableColumnId="6"/>
      <queryTableField id="7" name="publishing_recommenda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3668F1ED-DF0D-7B4A-B424-AA9B6D8278A2}" autoFormatId="16" applyNumberFormats="0" applyBorderFormats="0" applyFontFormats="0" applyPatternFormats="0" applyAlignmentFormats="0" applyWidthHeightFormats="0">
  <queryTableRefresh nextId="12">
    <queryTableFields count="11">
      <queryTableField id="1" name="city" tableColumnId="1"/>
      <queryTableField id="2" name="room_type" tableColumnId="2"/>
      <queryTableField id="3" name="host_is_superhost" tableColumnId="3"/>
      <queryTableField id="4" name="accommodates" tableColumnId="4"/>
      <queryTableField id="5" name="cleanliness_score" tableColumnId="5"/>
      <queryTableField id="6" name="location_score" tableColumnId="6"/>
      <queryTableField id="7" name="value_score" tableColumnId="7"/>
      <queryTableField id="8" name="avg_occupancy" tableColumnId="8"/>
      <queryTableField id="9" name="avg_rating" tableColumnId="9"/>
      <queryTableField id="10" name="avg_price" tableColumnId="10"/>
      <queryTableField id="11" name="listing_count"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14E8DF74-4A38-C245-9789-3D10B35DF386}" autoFormatId="16" applyNumberFormats="0" applyBorderFormats="0" applyFontFormats="0" applyPatternFormats="0" applyAlignmentFormats="0" applyWidthHeightFormats="0">
  <queryTableRefresh nextId="13" unboundColumnsRight="1">
    <queryTableFields count="12">
      <queryTableField id="1" name="city" tableColumnId="1"/>
      <queryTableField id="2" name="neighbourhood" tableColumnId="2"/>
      <queryTableField id="3" name="area" tableColumnId="3"/>
      <queryTableField id="4" name="listing_count" tableColumnId="4"/>
      <queryTableField id="5" name="avg_occupancy" tableColumnId="5"/>
      <queryTableField id="6" name="avg_price" tableColumnId="6"/>
      <queryTableField id="7" name="price_stddev" tableColumnId="7"/>
      <queryTableField id="8" name="coeff_of_variation" tableColumnId="8"/>
      <queryTableField id="9" name="occupancy_gap_pct" tableColumnId="9"/>
      <queryTableField id="10" name="price_gap" tableColumnId="10"/>
      <queryTableField id="11" name="market_signal"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319416-1793-1B46-8A72-CF167233A095}" sourceName="city">
  <pivotTables>
    <pivotTable tabId="15" name="PivotTable2"/>
  </pivotTables>
  <data>
    <tabular pivotCacheId="88598004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F1C0D06-D24E-D246-AD51-E4F1DFDB24DF}" sourceName="city">
  <pivotTables>
    <pivotTable tabId="17" name="PivotTable3"/>
  </pivotTables>
  <data>
    <tabular pivotCacheId="9945757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F960A849-22B8-644A-A2C5-A1E3B0A535E9}" sourceName="city">
  <pivotTables>
    <pivotTable tabId="18" name="PivotTable1"/>
  </pivotTables>
  <data>
    <tabular pivotCacheId="17542644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7B88A3A2-CEE0-6C4E-AD4F-500B46956236}" sourceName="room_type">
  <pivotTables>
    <pivotTable tabId="18" name="PivotTable1"/>
  </pivotTables>
  <data>
    <tabular pivotCacheId="1754264404">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3" xr10:uid="{68852BEC-7BD7-6140-9AD9-1E627D491C80}" sourceName="city">
  <pivotTables>
    <pivotTable tabId="19" name="PivotTable2"/>
  </pivotTables>
  <data>
    <tabular pivotCacheId="187305675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ignal" xr10:uid="{473A4A3E-BB8C-B44A-B696-CB4E15A64A74}" sourceName="market_signal">
  <pivotTables>
    <pivotTable tabId="19" name="PivotTable2"/>
  </pivotTables>
  <data>
    <tabular pivotCacheId="1873056753">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5C3D6EE-842B-1140-A889-17575823C06A}" cache="Slicer_city" caption="cit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94BD0109-B765-4C4C-A433-C346A693F0BA}" cache="Slicer_city1" caption="cit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ED663CD-C851-CE44-AAC7-53FA733279F3}" cache="Slicer_city2" caption="city" rowHeight="251883"/>
  <slicer name="room_type" xr10:uid="{398929CA-E054-4547-97EA-CB6C906BC161}" cache="Slicer_room_type" caption="room_type"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98A3FA05-AD91-FA4A-AEA1-315BF6517BA0}" cache="Slicer_city3" caption="city" rowHeight="251883"/>
  <slicer name="market_signal" xr10:uid="{CD4B58E1-8C0A-D241-A87A-4441FEE251AC}" cache="Slicer_market_signal" caption="market_signal"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F83F3-A3F4-744F-8BEC-1FA82CFCE902}" name="export_q1_neighborhood_stats" displayName="export_q1_neighborhood_stats" ref="A1:O130" tableType="queryTable" totalsRowShown="0">
  <autoFilter ref="A1:O130" xr:uid="{E7DF83F3-A3F4-744F-8BEC-1FA82CFCE902}"/>
  <sortState xmlns:xlrd2="http://schemas.microsoft.com/office/spreadsheetml/2017/richdata2" ref="A2:O130">
    <sortCondition ref="N1:N130"/>
  </sortState>
  <tableColumns count="15">
    <tableColumn id="1" xr3:uid="{3A4AF978-0FDA-DF43-B8D6-AFBD9355A676}" uniqueName="1" name="city" queryTableFieldId="1" dataDxfId="35"/>
    <tableColumn id="2" xr3:uid="{4C67624D-502F-6744-9A72-5D1B9E4CEFCA}" uniqueName="2" name="neighbourhood" queryTableFieldId="2" dataDxfId="34"/>
    <tableColumn id="3" xr3:uid="{4CFC48A9-2B6E-DB44-89C9-4A9A0FB61A22}" uniqueName="3" name="area" queryTableFieldId="3" dataDxfId="33"/>
    <tableColumn id="4" xr3:uid="{1715ECAF-F232-724C-ADF0-AAEAFB918A9C}" uniqueName="4" name="supply_count" queryTableFieldId="4"/>
    <tableColumn id="5" xr3:uid="{CAD2DA4A-140D-1A49-B032-5099D290101C}" uniqueName="5" name="avg_occupancy" queryTableFieldId="5"/>
    <tableColumn id="17" xr3:uid="{3AF2A00E-6AB6-DB47-A782-A986A41713F2}" uniqueName="17" name="avg_price_usd" queryTableFieldId="16" dataDxfId="32">
      <calculatedColumnFormula>IF(A2="Mexico City",O2/20,O2)</calculatedColumnFormula>
    </tableColumn>
    <tableColumn id="7" xr3:uid="{467A198A-EDCE-8D49-885F-EC785746E554}" uniqueName="7" name="avg_reviews_per_month" queryTableFieldId="7"/>
    <tableColumn id="8" xr3:uid="{1C8E9072-80CF-2944-89C9-B09712373749}" uniqueName="8" name="avg_rating" queryTableFieldId="8"/>
    <tableColumn id="9" xr3:uid="{2AF6BEB3-19A1-6E44-A463-36E6D094A308}" uniqueName="9" name="occupancy_tier" queryTableFieldId="9" dataDxfId="31"/>
    <tableColumn id="10" xr3:uid="{BE71DE06-BDAD-AB4D-8103-F3DD96E23250}" uniqueName="10" name="pricing_tier" queryTableFieldId="10" dataDxfId="30"/>
    <tableColumn id="11" xr3:uid="{5DC84BBE-FD21-4044-950A-CF5D91295C44}" uniqueName="11" name="market_signal" queryTableFieldId="11" dataDxfId="29"/>
    <tableColumn id="12" xr3:uid="{4F996E1D-05FC-B641-BAA5-69C5892759B9}" uniqueName="12" name="demand_score" queryTableFieldId="12" dataDxfId="28">
      <calculatedColumnFormula>IF(E2&gt;0.5,5,IF(E2&gt;0.4,4, IF(E2&gt;0.3,3,IF(E2&gt;0.2,2,1))))</calculatedColumnFormula>
    </tableColumn>
    <tableColumn id="13" xr3:uid="{0286878B-8CDD-3A48-8384-A950929D0C13}" uniqueName="13" name="price_opportunity_score" queryTableFieldId="13" dataDxfId="27">
      <calculatedColumnFormula>IF(AND(I2="above average",J2="lag"),5,IF(AND(I2="above average",J2="premium"),3,IF(AND(I2="below average",J2="lag"),2,1)))</calculatedColumnFormula>
    </tableColumn>
    <tableColumn id="14" xr3:uid="{CCDB30F7-33CD-884C-928C-0A24705B8AAB}" uniqueName="14" name="partnership_priority" queryTableFieldId="14" dataDxfId="26">
      <calculatedColumnFormula>IF(K2="opportunity","HIGH",IF(K2="high demand","MEDIUM",IF(K2="overpriced","LOW","PASS")))</calculatedColumnFormula>
    </tableColumn>
    <tableColumn id="18" xr3:uid="{DEFE8230-2F4B-F244-B261-BFA5E71024DE}" uniqueName="18" name="avg_price" queryTableFieldId="17"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AA889C-ED34-2F44-8128-E19B05E929BE}" name="export_q2_seasonality" displayName="export_q2_seasonality" ref="A1:G37" tableType="queryTable" totalsRowShown="0">
  <autoFilter ref="A1:G37" xr:uid="{68AA889C-ED34-2F44-8128-E19B05E929BE}"/>
  <sortState xmlns:xlrd2="http://schemas.microsoft.com/office/spreadsheetml/2017/richdata2" ref="A2:G37">
    <sortCondition ref="F1:F37"/>
  </sortState>
  <tableColumns count="7">
    <tableColumn id="1" xr3:uid="{FB2BF38B-17D1-454C-8A5C-E6E2BD5E3399}" uniqueName="1" name="city" queryTableFieldId="1" dataDxfId="24"/>
    <tableColumn id="2" xr3:uid="{6AED5197-90EF-0E4C-8C00-F1C9FBCCDC5A}" uniqueName="2" name="month_number" queryTableFieldId="2"/>
    <tableColumn id="3" xr3:uid="{03E4BBDA-26C7-0C4C-8823-0042B207568B}" uniqueName="3" name="month_name" queryTableFieldId="3" dataDxfId="23"/>
    <tableColumn id="4" xr3:uid="{1D409416-FDC2-144C-99F1-1A69B6F375F0}" uniqueName="4" name="booked_nights" queryTableFieldId="4"/>
    <tableColumn id="5" xr3:uid="{D99E5C3F-B6B2-6D48-8A58-43798E87DF80}" uniqueName="5" name="pct_of_peak" queryTableFieldId="5"/>
    <tableColumn id="6" xr3:uid="{AD579E6E-148C-B14D-A9AE-3C163A67932E}" uniqueName="6" name="season_type" queryTableFieldId="6" dataDxfId="22"/>
    <tableColumn id="7" xr3:uid="{5CD40757-F063-7942-9674-588BB705ADF7}" uniqueName="7" name="publishing_recommendation" queryTableFieldId="7"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27B8DD-90AE-A449-B8B9-7EA147E9B922}" name="export_q3_attribute_performance" displayName="export_q3_attribute_performance" ref="A1:K176" tableType="queryTable" totalsRowShown="0">
  <autoFilter ref="A1:K176" xr:uid="{B627B8DD-90AE-A449-B8B9-7EA147E9B922}"/>
  <tableColumns count="11">
    <tableColumn id="1" xr3:uid="{F96C6FE7-A45D-A14B-830B-050071AD413D}" uniqueName="1" name="city" queryTableFieldId="1" dataDxfId="20"/>
    <tableColumn id="2" xr3:uid="{6DEEA4A0-1273-964F-B47B-F040FA6D1F59}" uniqueName="2" name="room_type" queryTableFieldId="2" dataDxfId="19"/>
    <tableColumn id="3" xr3:uid="{52C54D0C-736F-A445-BDB5-B551A8ACF639}" uniqueName="3" name="host_is_superhost" queryTableFieldId="3" dataDxfId="18"/>
    <tableColumn id="4" xr3:uid="{35131405-4DB3-0E49-BE6C-8230D2F7D16B}" uniqueName="4" name="accommodates" queryTableFieldId="4"/>
    <tableColumn id="5" xr3:uid="{D1E20F49-4AB9-294F-B880-52E63609EA6D}" uniqueName="5" name="cleanliness_score" queryTableFieldId="5"/>
    <tableColumn id="6" xr3:uid="{FEDB3FDD-3F3E-3943-A48A-C5699F0EA75D}" uniqueName="6" name="location_score" queryTableFieldId="6"/>
    <tableColumn id="7" xr3:uid="{F96A5635-4D73-D14C-87AF-2EEC2EC6ABEA}" uniqueName="7" name="value_score" queryTableFieldId="7"/>
    <tableColumn id="8" xr3:uid="{3BF7FA2A-5211-114D-90BA-7184563387BB}" uniqueName="8" name="avg_occupancy" queryTableFieldId="8"/>
    <tableColumn id="9" xr3:uid="{9C22C222-EC48-7949-BD73-6CD1D2C0D01C}" uniqueName="9" name="avg_rating" queryTableFieldId="9"/>
    <tableColumn id="10" xr3:uid="{7E2A8586-7200-B94C-A514-C7F5C1467BE5}" uniqueName="10" name="avg_price" queryTableFieldId="10"/>
    <tableColumn id="11" xr3:uid="{327E34AD-354A-834C-9889-E726DAC5FF7F}" uniqueName="11" name="listing_count"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5E427B-47D5-B544-8FA5-9E71E1CFA204}" name="export_q4_market_entry__2" displayName="export_q4_market_entry__2" ref="A1:L130" tableType="queryTable" totalsRowShown="0">
  <autoFilter ref="A1:L130" xr:uid="{465E427B-47D5-B544-8FA5-9E71E1CFA204}"/>
  <sortState xmlns:xlrd2="http://schemas.microsoft.com/office/spreadsheetml/2017/richdata2" ref="A2:L130">
    <sortCondition ref="K1:K130"/>
  </sortState>
  <tableColumns count="12">
    <tableColumn id="1" xr3:uid="{EAAC0187-C504-F04E-B7DF-C1C64B8A2278}" uniqueName="1" name="city" queryTableFieldId="1" dataDxfId="17"/>
    <tableColumn id="2" xr3:uid="{81CE88D7-1BA4-ED46-91CE-6989B414F53D}" uniqueName="2" name="neighbourhood" queryTableFieldId="2" dataDxfId="16"/>
    <tableColumn id="3" xr3:uid="{D66815A9-7432-8D42-A7B3-5579A8346AAD}" uniqueName="3" name="area" queryTableFieldId="3" dataDxfId="15"/>
    <tableColumn id="4" xr3:uid="{23914C84-1F22-B448-86A1-DA4C47AC6D52}" uniqueName="4" name="listing_count" queryTableFieldId="4"/>
    <tableColumn id="5" xr3:uid="{834605A6-F5FA-E949-BAC2-CD6DF2B7E382}" uniqueName="5" name="avg_occupancy" queryTableFieldId="5"/>
    <tableColumn id="6" xr3:uid="{EB363D00-B422-AE49-B8B2-334EB37C66BC}" uniqueName="6" name="avg_price" queryTableFieldId="6"/>
    <tableColumn id="7" xr3:uid="{E7C94ED9-482F-114A-AC2B-3861F5929F55}" uniqueName="7" name="price_stddev" queryTableFieldId="7"/>
    <tableColumn id="8" xr3:uid="{30E0E20A-A840-0244-B622-3A8F538BE0B0}" uniqueName="8" name="coeff_of_variation" queryTableFieldId="8"/>
    <tableColumn id="9" xr3:uid="{B15F7612-D243-9640-AA76-A8F3E3AC85B9}" uniqueName="9" name="occupancy_gap_pct" queryTableFieldId="9"/>
    <tableColumn id="10" xr3:uid="{7BE9CD56-A815-E240-9911-2DF1F36A5F0D}" uniqueName="10" name="price_gap" queryTableFieldId="10"/>
    <tableColumn id="11" xr3:uid="{574A8927-29BF-2F43-ABA9-54969960C22C}" uniqueName="11" name="market_signal" queryTableFieldId="11" dataDxfId="14"/>
    <tableColumn id="12" xr3:uid="{2A5E9383-2E4E-CE4E-AC97-89ECADC3CC66}" uniqueName="12" name="go_no_go_score" queryTableFieldId="12" dataDxfId="13">
      <calculatedColumnFormula>IF(K2="GO -- high demand, underpriced, volatile market",5,IF(K2="GO -- high demand, underpriced",4,IF(K2="MONITOR -- high demand, already premium",3,IF(K2="NO GO -- low demand, low price",2,1))))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0471-9030-6048-B97E-5DBDD7280D6E}">
  <dimension ref="A1"/>
  <sheetViews>
    <sheetView workbookViewId="0"/>
  </sheetViews>
  <sheetFormatPr baseColWidth="10" defaultRowHeig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485EC-B958-9B41-97B9-93DB232E4256}">
  <sheetPr>
    <tabColor rgb="FF00B0F0"/>
  </sheetPr>
  <dimension ref="A1:O130"/>
  <sheetViews>
    <sheetView workbookViewId="0">
      <pane ySplit="1" topLeftCell="A2" activePane="bottomLeft" state="frozen"/>
      <selection pane="bottomLeft" activeCell="B6" sqref="B6"/>
    </sheetView>
  </sheetViews>
  <sheetFormatPr baseColWidth="10" defaultRowHeight="16" x14ac:dyDescent="0.2"/>
  <cols>
    <col min="1" max="1" width="11.5" bestFit="1" customWidth="1"/>
    <col min="2" max="2" width="22.5" bestFit="1" customWidth="1"/>
    <col min="3" max="3" width="10" bestFit="1" customWidth="1"/>
    <col min="4" max="4" width="14.5" bestFit="1" customWidth="1"/>
    <col min="5" max="5" width="16.1640625" bestFit="1" customWidth="1"/>
    <col min="6" max="6" width="11.5" bestFit="1" customWidth="1"/>
    <col min="7" max="7" width="12.1640625" bestFit="1" customWidth="1"/>
    <col min="8" max="8" width="16.1640625" bestFit="1" customWidth="1"/>
    <col min="9" max="9" width="13" bestFit="1" customWidth="1"/>
    <col min="10" max="10" width="15.5" bestFit="1" customWidth="1"/>
  </cols>
  <sheetData>
    <row r="1" spans="1:15" x14ac:dyDescent="0.2">
      <c r="A1" t="s">
        <v>0</v>
      </c>
      <c r="B1" t="s">
        <v>1</v>
      </c>
      <c r="C1" t="s">
        <v>2</v>
      </c>
      <c r="D1" t="s">
        <v>3</v>
      </c>
      <c r="E1" t="s">
        <v>4</v>
      </c>
      <c r="F1" t="s">
        <v>211</v>
      </c>
      <c r="G1" t="s">
        <v>6</v>
      </c>
      <c r="H1" t="s">
        <v>7</v>
      </c>
      <c r="I1" t="s">
        <v>8</v>
      </c>
      <c r="J1" t="s">
        <v>9</v>
      </c>
      <c r="K1" t="s">
        <v>10</v>
      </c>
      <c r="L1" t="s">
        <v>204</v>
      </c>
      <c r="M1" t="s">
        <v>205</v>
      </c>
      <c r="N1" t="s">
        <v>206</v>
      </c>
      <c r="O1" t="s">
        <v>5</v>
      </c>
    </row>
    <row r="2" spans="1:15" x14ac:dyDescent="0.2">
      <c r="A2" t="s">
        <v>11</v>
      </c>
      <c r="B2" t="s">
        <v>12</v>
      </c>
      <c r="C2" t="s">
        <v>13</v>
      </c>
      <c r="D2">
        <v>414</v>
      </c>
      <c r="E2">
        <v>0.32369999999999999</v>
      </c>
      <c r="F2" s="4">
        <f t="shared" ref="F2:F33" si="0">IF(A2="Mexico City",O2/20,O2)</f>
        <v>68.871000000000009</v>
      </c>
      <c r="G2">
        <v>2.5099999999999998</v>
      </c>
      <c r="I2" t="s">
        <v>14</v>
      </c>
      <c r="J2" t="s">
        <v>15</v>
      </c>
      <c r="K2" t="s">
        <v>16</v>
      </c>
      <c r="L2">
        <f t="shared" ref="L2:L33" si="1">IF(E2&gt;0.5,5,IF(E2&gt;0.4,4, IF(E2&gt;0.3,3,IF(E2&gt;0.2,2,1))))</f>
        <v>3</v>
      </c>
      <c r="M2">
        <f t="shared" ref="M2:M33" si="2">IF(AND(I2="above average",J2="lag"),5,IF(AND(I2="above average",J2="premium"),3,IF(AND(I2="below average",J2="lag"),2,1)))</f>
        <v>5</v>
      </c>
      <c r="N2" t="str">
        <f t="shared" ref="N2:N33" si="3">IF(K2="opportunity","HIGH",IF(K2="high demand","MEDIUM",IF(K2="overpriced","LOW","PASS")))</f>
        <v>HIGH</v>
      </c>
      <c r="O2">
        <v>1377.42</v>
      </c>
    </row>
    <row r="3" spans="1:15" x14ac:dyDescent="0.2">
      <c r="A3" t="s">
        <v>11</v>
      </c>
      <c r="B3" t="s">
        <v>20</v>
      </c>
      <c r="C3" t="s">
        <v>13</v>
      </c>
      <c r="D3">
        <v>808</v>
      </c>
      <c r="E3">
        <v>0.31380000000000002</v>
      </c>
      <c r="F3">
        <f t="shared" si="0"/>
        <v>61.250999999999998</v>
      </c>
      <c r="G3">
        <v>3.01</v>
      </c>
      <c r="I3" t="s">
        <v>14</v>
      </c>
      <c r="J3" t="s">
        <v>15</v>
      </c>
      <c r="K3" t="s">
        <v>16</v>
      </c>
      <c r="L3">
        <f t="shared" si="1"/>
        <v>3</v>
      </c>
      <c r="M3">
        <f t="shared" si="2"/>
        <v>5</v>
      </c>
      <c r="N3" t="str">
        <f t="shared" si="3"/>
        <v>HIGH</v>
      </c>
      <c r="O3">
        <v>1225.02</v>
      </c>
    </row>
    <row r="4" spans="1:15" x14ac:dyDescent="0.2">
      <c r="A4" t="s">
        <v>11</v>
      </c>
      <c r="B4" t="s">
        <v>21</v>
      </c>
      <c r="C4" t="s">
        <v>13</v>
      </c>
      <c r="D4">
        <v>2425</v>
      </c>
      <c r="E4">
        <v>0.3115</v>
      </c>
      <c r="F4">
        <f t="shared" si="0"/>
        <v>83.466999999999999</v>
      </c>
      <c r="G4">
        <v>1.83</v>
      </c>
      <c r="I4" t="s">
        <v>14</v>
      </c>
      <c r="J4" t="s">
        <v>15</v>
      </c>
      <c r="K4" t="s">
        <v>16</v>
      </c>
      <c r="L4">
        <f t="shared" si="1"/>
        <v>3</v>
      </c>
      <c r="M4">
        <f t="shared" si="2"/>
        <v>5</v>
      </c>
      <c r="N4" t="str">
        <f t="shared" si="3"/>
        <v>HIGH</v>
      </c>
      <c r="O4">
        <v>1669.34</v>
      </c>
    </row>
    <row r="5" spans="1:15" x14ac:dyDescent="0.2">
      <c r="A5" t="s">
        <v>11</v>
      </c>
      <c r="B5" t="s">
        <v>22</v>
      </c>
      <c r="C5" t="s">
        <v>13</v>
      </c>
      <c r="D5">
        <v>1389</v>
      </c>
      <c r="E5">
        <v>0.30630000000000002</v>
      </c>
      <c r="F5">
        <f t="shared" si="0"/>
        <v>98.897000000000006</v>
      </c>
      <c r="G5">
        <v>1.72</v>
      </c>
      <c r="I5" t="s">
        <v>14</v>
      </c>
      <c r="J5" t="s">
        <v>15</v>
      </c>
      <c r="K5" t="s">
        <v>16</v>
      </c>
      <c r="L5">
        <f t="shared" si="1"/>
        <v>3</v>
      </c>
      <c r="M5">
        <f t="shared" si="2"/>
        <v>5</v>
      </c>
      <c r="N5" t="str">
        <f t="shared" si="3"/>
        <v>HIGH</v>
      </c>
      <c r="O5">
        <v>1977.94</v>
      </c>
    </row>
    <row r="6" spans="1:15" x14ac:dyDescent="0.2">
      <c r="A6" t="s">
        <v>37</v>
      </c>
      <c r="B6" t="s">
        <v>38</v>
      </c>
      <c r="C6" t="s">
        <v>13</v>
      </c>
      <c r="D6">
        <v>24</v>
      </c>
      <c r="E6">
        <v>0.55410000000000004</v>
      </c>
      <c r="F6">
        <f t="shared" si="0"/>
        <v>311.89999999999998</v>
      </c>
      <c r="G6">
        <v>2.0099999999999998</v>
      </c>
      <c r="H6">
        <v>4.93</v>
      </c>
      <c r="I6" t="s">
        <v>14</v>
      </c>
      <c r="J6" t="s">
        <v>15</v>
      </c>
      <c r="K6" t="s">
        <v>16</v>
      </c>
      <c r="L6">
        <f t="shared" si="1"/>
        <v>5</v>
      </c>
      <c r="M6">
        <f t="shared" si="2"/>
        <v>5</v>
      </c>
      <c r="N6" t="str">
        <f t="shared" si="3"/>
        <v>HIGH</v>
      </c>
      <c r="O6">
        <v>311.89999999999998</v>
      </c>
    </row>
    <row r="7" spans="1:15" x14ac:dyDescent="0.2">
      <c r="A7" t="s">
        <v>37</v>
      </c>
      <c r="B7" t="s">
        <v>39</v>
      </c>
      <c r="C7" t="s">
        <v>13</v>
      </c>
      <c r="D7">
        <v>40</v>
      </c>
      <c r="E7">
        <v>0.52559999999999996</v>
      </c>
      <c r="F7">
        <f t="shared" si="0"/>
        <v>330.78</v>
      </c>
      <c r="G7">
        <v>1.67</v>
      </c>
      <c r="H7">
        <v>4.9000000000000004</v>
      </c>
      <c r="I7" t="s">
        <v>14</v>
      </c>
      <c r="J7" t="s">
        <v>15</v>
      </c>
      <c r="K7" t="s">
        <v>16</v>
      </c>
      <c r="L7">
        <f t="shared" si="1"/>
        <v>5</v>
      </c>
      <c r="M7">
        <f t="shared" si="2"/>
        <v>5</v>
      </c>
      <c r="N7" t="str">
        <f t="shared" si="3"/>
        <v>HIGH</v>
      </c>
      <c r="O7">
        <v>330.78</v>
      </c>
    </row>
    <row r="8" spans="1:15" x14ac:dyDescent="0.2">
      <c r="A8" t="s">
        <v>37</v>
      </c>
      <c r="B8" t="s">
        <v>40</v>
      </c>
      <c r="C8" t="s">
        <v>13</v>
      </c>
      <c r="D8">
        <v>28</v>
      </c>
      <c r="E8">
        <v>0.50670000000000004</v>
      </c>
      <c r="F8">
        <f t="shared" si="0"/>
        <v>322.69</v>
      </c>
      <c r="G8">
        <v>2.2000000000000002</v>
      </c>
      <c r="H8">
        <v>4.93</v>
      </c>
      <c r="I8" t="s">
        <v>14</v>
      </c>
      <c r="J8" t="s">
        <v>15</v>
      </c>
      <c r="K8" t="s">
        <v>16</v>
      </c>
      <c r="L8">
        <f t="shared" si="1"/>
        <v>5</v>
      </c>
      <c r="M8">
        <f t="shared" si="2"/>
        <v>5</v>
      </c>
      <c r="N8" t="str">
        <f t="shared" si="3"/>
        <v>HIGH</v>
      </c>
      <c r="O8">
        <v>322.69</v>
      </c>
    </row>
    <row r="9" spans="1:15" x14ac:dyDescent="0.2">
      <c r="A9" t="s">
        <v>37</v>
      </c>
      <c r="B9" t="s">
        <v>41</v>
      </c>
      <c r="C9" t="s">
        <v>13</v>
      </c>
      <c r="D9">
        <v>58</v>
      </c>
      <c r="E9">
        <v>0.50349999999999995</v>
      </c>
      <c r="F9">
        <f t="shared" si="0"/>
        <v>291.08999999999997</v>
      </c>
      <c r="G9">
        <v>2.67</v>
      </c>
      <c r="H9">
        <v>4.91</v>
      </c>
      <c r="I9" t="s">
        <v>14</v>
      </c>
      <c r="J9" t="s">
        <v>15</v>
      </c>
      <c r="K9" t="s">
        <v>16</v>
      </c>
      <c r="L9">
        <f t="shared" si="1"/>
        <v>5</v>
      </c>
      <c r="M9">
        <f t="shared" si="2"/>
        <v>5</v>
      </c>
      <c r="N9" t="str">
        <f t="shared" si="3"/>
        <v>HIGH</v>
      </c>
      <c r="O9">
        <v>291.08999999999997</v>
      </c>
    </row>
    <row r="10" spans="1:15" x14ac:dyDescent="0.2">
      <c r="A10" t="s">
        <v>37</v>
      </c>
      <c r="B10" t="s">
        <v>42</v>
      </c>
      <c r="C10" t="s">
        <v>13</v>
      </c>
      <c r="D10">
        <v>14</v>
      </c>
      <c r="E10">
        <v>0.49590000000000001</v>
      </c>
      <c r="F10">
        <f t="shared" si="0"/>
        <v>313.87</v>
      </c>
      <c r="G10">
        <v>1.97</v>
      </c>
      <c r="H10">
        <v>4.82</v>
      </c>
      <c r="I10" t="s">
        <v>14</v>
      </c>
      <c r="J10" t="s">
        <v>15</v>
      </c>
      <c r="K10" t="s">
        <v>16</v>
      </c>
      <c r="L10">
        <f t="shared" si="1"/>
        <v>4</v>
      </c>
      <c r="M10">
        <f t="shared" si="2"/>
        <v>5</v>
      </c>
      <c r="N10" t="str">
        <f t="shared" si="3"/>
        <v>HIGH</v>
      </c>
      <c r="O10">
        <v>313.87</v>
      </c>
    </row>
    <row r="11" spans="1:15" x14ac:dyDescent="0.2">
      <c r="A11" t="s">
        <v>37</v>
      </c>
      <c r="B11" t="s">
        <v>43</v>
      </c>
      <c r="C11" t="s">
        <v>13</v>
      </c>
      <c r="D11">
        <v>49</v>
      </c>
      <c r="E11">
        <v>0.49530000000000002</v>
      </c>
      <c r="F11">
        <f t="shared" si="0"/>
        <v>312.66000000000003</v>
      </c>
      <c r="G11">
        <v>2.2200000000000002</v>
      </c>
      <c r="H11">
        <v>4.88</v>
      </c>
      <c r="I11" t="s">
        <v>14</v>
      </c>
      <c r="J11" t="s">
        <v>15</v>
      </c>
      <c r="K11" t="s">
        <v>16</v>
      </c>
      <c r="L11">
        <f t="shared" si="1"/>
        <v>4</v>
      </c>
      <c r="M11">
        <f t="shared" si="2"/>
        <v>5</v>
      </c>
      <c r="N11" t="str">
        <f t="shared" si="3"/>
        <v>HIGH</v>
      </c>
      <c r="O11">
        <v>312.66000000000003</v>
      </c>
    </row>
    <row r="12" spans="1:15" x14ac:dyDescent="0.2">
      <c r="A12" t="s">
        <v>37</v>
      </c>
      <c r="B12" t="s">
        <v>44</v>
      </c>
      <c r="C12" t="s">
        <v>13</v>
      </c>
      <c r="D12">
        <v>17</v>
      </c>
      <c r="E12">
        <v>0.49480000000000002</v>
      </c>
      <c r="F12">
        <f t="shared" si="0"/>
        <v>285.76</v>
      </c>
      <c r="G12">
        <v>1.97</v>
      </c>
      <c r="H12">
        <v>4.91</v>
      </c>
      <c r="I12" t="s">
        <v>14</v>
      </c>
      <c r="J12" t="s">
        <v>15</v>
      </c>
      <c r="K12" t="s">
        <v>16</v>
      </c>
      <c r="L12">
        <f t="shared" si="1"/>
        <v>4</v>
      </c>
      <c r="M12">
        <f t="shared" si="2"/>
        <v>5</v>
      </c>
      <c r="N12" t="str">
        <f t="shared" si="3"/>
        <v>HIGH</v>
      </c>
      <c r="O12">
        <v>285.76</v>
      </c>
    </row>
    <row r="13" spans="1:15" x14ac:dyDescent="0.2">
      <c r="A13" t="s">
        <v>37</v>
      </c>
      <c r="B13" t="s">
        <v>45</v>
      </c>
      <c r="C13" t="s">
        <v>13</v>
      </c>
      <c r="D13">
        <v>24</v>
      </c>
      <c r="E13">
        <v>0.48130000000000001</v>
      </c>
      <c r="F13">
        <f t="shared" si="0"/>
        <v>241.42</v>
      </c>
      <c r="G13">
        <v>1.82</v>
      </c>
      <c r="H13">
        <v>4.7300000000000004</v>
      </c>
      <c r="I13" t="s">
        <v>14</v>
      </c>
      <c r="J13" t="s">
        <v>15</v>
      </c>
      <c r="K13" t="s">
        <v>16</v>
      </c>
      <c r="L13">
        <f t="shared" si="1"/>
        <v>4</v>
      </c>
      <c r="M13">
        <f t="shared" si="2"/>
        <v>5</v>
      </c>
      <c r="N13" t="str">
        <f t="shared" si="3"/>
        <v>HIGH</v>
      </c>
      <c r="O13">
        <v>241.42</v>
      </c>
    </row>
    <row r="14" spans="1:15" x14ac:dyDescent="0.2">
      <c r="A14" t="s">
        <v>37</v>
      </c>
      <c r="B14" t="s">
        <v>46</v>
      </c>
      <c r="C14" t="s">
        <v>13</v>
      </c>
      <c r="D14">
        <v>10</v>
      </c>
      <c r="E14">
        <v>0.48110000000000003</v>
      </c>
      <c r="F14">
        <f t="shared" si="0"/>
        <v>295.72000000000003</v>
      </c>
      <c r="G14">
        <v>1.98</v>
      </c>
      <c r="H14">
        <v>4.8</v>
      </c>
      <c r="I14" t="s">
        <v>14</v>
      </c>
      <c r="J14" t="s">
        <v>15</v>
      </c>
      <c r="K14" t="s">
        <v>16</v>
      </c>
      <c r="L14">
        <f t="shared" si="1"/>
        <v>4</v>
      </c>
      <c r="M14">
        <f t="shared" si="2"/>
        <v>5</v>
      </c>
      <c r="N14" t="str">
        <f t="shared" si="3"/>
        <v>HIGH</v>
      </c>
      <c r="O14">
        <v>295.72000000000003</v>
      </c>
    </row>
    <row r="15" spans="1:15" x14ac:dyDescent="0.2">
      <c r="A15" t="s">
        <v>37</v>
      </c>
      <c r="B15" t="s">
        <v>47</v>
      </c>
      <c r="C15" t="s">
        <v>13</v>
      </c>
      <c r="D15">
        <v>58</v>
      </c>
      <c r="E15">
        <v>0.4723</v>
      </c>
      <c r="F15">
        <f t="shared" si="0"/>
        <v>282.35000000000002</v>
      </c>
      <c r="G15">
        <v>2.11</v>
      </c>
      <c r="H15">
        <v>4.8899999999999997</v>
      </c>
      <c r="I15" t="s">
        <v>14</v>
      </c>
      <c r="J15" t="s">
        <v>15</v>
      </c>
      <c r="K15" t="s">
        <v>16</v>
      </c>
      <c r="L15">
        <f t="shared" si="1"/>
        <v>4</v>
      </c>
      <c r="M15">
        <f t="shared" si="2"/>
        <v>5</v>
      </c>
      <c r="N15" t="str">
        <f t="shared" si="3"/>
        <v>HIGH</v>
      </c>
      <c r="O15">
        <v>282.35000000000002</v>
      </c>
    </row>
    <row r="16" spans="1:15" x14ac:dyDescent="0.2">
      <c r="A16" t="s">
        <v>37</v>
      </c>
      <c r="B16" t="s">
        <v>48</v>
      </c>
      <c r="C16" t="s">
        <v>13</v>
      </c>
      <c r="D16">
        <v>11</v>
      </c>
      <c r="E16">
        <v>0.46500000000000002</v>
      </c>
      <c r="F16">
        <f t="shared" si="0"/>
        <v>350.23</v>
      </c>
      <c r="G16">
        <v>1.43</v>
      </c>
      <c r="H16">
        <v>4.87</v>
      </c>
      <c r="I16" t="s">
        <v>14</v>
      </c>
      <c r="J16" t="s">
        <v>15</v>
      </c>
      <c r="K16" t="s">
        <v>16</v>
      </c>
      <c r="L16">
        <f t="shared" si="1"/>
        <v>4</v>
      </c>
      <c r="M16">
        <f t="shared" si="2"/>
        <v>5</v>
      </c>
      <c r="N16" t="str">
        <f t="shared" si="3"/>
        <v>HIGH</v>
      </c>
      <c r="O16">
        <v>350.23</v>
      </c>
    </row>
    <row r="17" spans="1:15" x14ac:dyDescent="0.2">
      <c r="A17" t="s">
        <v>37</v>
      </c>
      <c r="B17" t="s">
        <v>51</v>
      </c>
      <c r="C17" t="s">
        <v>13</v>
      </c>
      <c r="D17">
        <v>16</v>
      </c>
      <c r="E17">
        <v>0.46079999999999999</v>
      </c>
      <c r="F17">
        <f t="shared" si="0"/>
        <v>256.27</v>
      </c>
      <c r="G17">
        <v>1.53</v>
      </c>
      <c r="H17">
        <v>4.8099999999999996</v>
      </c>
      <c r="I17" t="s">
        <v>14</v>
      </c>
      <c r="J17" t="s">
        <v>15</v>
      </c>
      <c r="K17" t="s">
        <v>16</v>
      </c>
      <c r="L17">
        <f t="shared" si="1"/>
        <v>4</v>
      </c>
      <c r="M17">
        <f t="shared" si="2"/>
        <v>5</v>
      </c>
      <c r="N17" t="str">
        <f t="shared" si="3"/>
        <v>HIGH</v>
      </c>
      <c r="O17">
        <v>256.27</v>
      </c>
    </row>
    <row r="18" spans="1:15" x14ac:dyDescent="0.2">
      <c r="A18" t="s">
        <v>37</v>
      </c>
      <c r="B18" t="s">
        <v>52</v>
      </c>
      <c r="C18" t="s">
        <v>13</v>
      </c>
      <c r="D18">
        <v>29</v>
      </c>
      <c r="E18">
        <v>0.44409999999999999</v>
      </c>
      <c r="F18">
        <f t="shared" si="0"/>
        <v>298.72000000000003</v>
      </c>
      <c r="G18">
        <v>2.2200000000000002</v>
      </c>
      <c r="H18">
        <v>4.92</v>
      </c>
      <c r="I18" t="s">
        <v>14</v>
      </c>
      <c r="J18" t="s">
        <v>15</v>
      </c>
      <c r="K18" t="s">
        <v>16</v>
      </c>
      <c r="L18">
        <f t="shared" si="1"/>
        <v>4</v>
      </c>
      <c r="M18">
        <f t="shared" si="2"/>
        <v>5</v>
      </c>
      <c r="N18" t="str">
        <f t="shared" si="3"/>
        <v>HIGH</v>
      </c>
      <c r="O18">
        <v>298.72000000000003</v>
      </c>
    </row>
    <row r="19" spans="1:15" x14ac:dyDescent="0.2">
      <c r="A19" t="s">
        <v>37</v>
      </c>
      <c r="B19" t="s">
        <v>53</v>
      </c>
      <c r="C19" t="s">
        <v>13</v>
      </c>
      <c r="D19">
        <v>68</v>
      </c>
      <c r="E19">
        <v>0.44209999999999999</v>
      </c>
      <c r="F19">
        <f t="shared" si="0"/>
        <v>338.1</v>
      </c>
      <c r="G19">
        <v>2.37</v>
      </c>
      <c r="H19">
        <v>4.92</v>
      </c>
      <c r="I19" t="s">
        <v>14</v>
      </c>
      <c r="J19" t="s">
        <v>15</v>
      </c>
      <c r="K19" t="s">
        <v>16</v>
      </c>
      <c r="L19">
        <f t="shared" si="1"/>
        <v>4</v>
      </c>
      <c r="M19">
        <f t="shared" si="2"/>
        <v>5</v>
      </c>
      <c r="N19" t="str">
        <f t="shared" si="3"/>
        <v>HIGH</v>
      </c>
      <c r="O19">
        <v>338.1</v>
      </c>
    </row>
    <row r="20" spans="1:15" x14ac:dyDescent="0.2">
      <c r="A20" t="s">
        <v>37</v>
      </c>
      <c r="B20" t="s">
        <v>55</v>
      </c>
      <c r="C20" t="s">
        <v>13</v>
      </c>
      <c r="D20">
        <v>182</v>
      </c>
      <c r="E20">
        <v>0.4335</v>
      </c>
      <c r="F20">
        <f t="shared" si="0"/>
        <v>324.93</v>
      </c>
      <c r="G20">
        <v>1.96</v>
      </c>
      <c r="H20">
        <v>4.8099999999999996</v>
      </c>
      <c r="I20" t="s">
        <v>14</v>
      </c>
      <c r="J20" t="s">
        <v>15</v>
      </c>
      <c r="K20" t="s">
        <v>16</v>
      </c>
      <c r="L20">
        <f t="shared" si="1"/>
        <v>4</v>
      </c>
      <c r="M20">
        <f t="shared" si="2"/>
        <v>5</v>
      </c>
      <c r="N20" t="str">
        <f t="shared" si="3"/>
        <v>HIGH</v>
      </c>
      <c r="O20">
        <v>324.93</v>
      </c>
    </row>
    <row r="21" spans="1:15" x14ac:dyDescent="0.2">
      <c r="A21" t="s">
        <v>37</v>
      </c>
      <c r="B21" t="s">
        <v>56</v>
      </c>
      <c r="C21" t="s">
        <v>13</v>
      </c>
      <c r="D21">
        <v>34</v>
      </c>
      <c r="E21">
        <v>0.42659999999999998</v>
      </c>
      <c r="F21">
        <f t="shared" si="0"/>
        <v>226.25</v>
      </c>
      <c r="G21">
        <v>2.21</v>
      </c>
      <c r="H21">
        <v>4.8899999999999997</v>
      </c>
      <c r="I21" t="s">
        <v>14</v>
      </c>
      <c r="J21" t="s">
        <v>15</v>
      </c>
      <c r="K21" t="s">
        <v>16</v>
      </c>
      <c r="L21">
        <f t="shared" si="1"/>
        <v>4</v>
      </c>
      <c r="M21">
        <f t="shared" si="2"/>
        <v>5</v>
      </c>
      <c r="N21" t="str">
        <f t="shared" si="3"/>
        <v>HIGH</v>
      </c>
      <c r="O21">
        <v>226.25</v>
      </c>
    </row>
    <row r="22" spans="1:15" x14ac:dyDescent="0.2">
      <c r="A22" t="s">
        <v>37</v>
      </c>
      <c r="B22" t="s">
        <v>57</v>
      </c>
      <c r="C22" t="s">
        <v>13</v>
      </c>
      <c r="D22">
        <v>12</v>
      </c>
      <c r="E22">
        <v>0.42049999999999998</v>
      </c>
      <c r="F22">
        <f t="shared" si="0"/>
        <v>262.76</v>
      </c>
      <c r="G22">
        <v>1.86</v>
      </c>
      <c r="H22">
        <v>4.4800000000000004</v>
      </c>
      <c r="I22" t="s">
        <v>14</v>
      </c>
      <c r="J22" t="s">
        <v>15</v>
      </c>
      <c r="K22" t="s">
        <v>16</v>
      </c>
      <c r="L22">
        <f t="shared" si="1"/>
        <v>4</v>
      </c>
      <c r="M22">
        <f t="shared" si="2"/>
        <v>5</v>
      </c>
      <c r="N22" t="str">
        <f t="shared" si="3"/>
        <v>HIGH</v>
      </c>
      <c r="O22">
        <v>262.76</v>
      </c>
    </row>
    <row r="23" spans="1:15" x14ac:dyDescent="0.2">
      <c r="A23" t="s">
        <v>37</v>
      </c>
      <c r="B23" t="s">
        <v>58</v>
      </c>
      <c r="C23" t="s">
        <v>13</v>
      </c>
      <c r="D23">
        <v>24</v>
      </c>
      <c r="E23">
        <v>0.42</v>
      </c>
      <c r="F23">
        <f t="shared" si="0"/>
        <v>320.39999999999998</v>
      </c>
      <c r="G23">
        <v>1.78</v>
      </c>
      <c r="H23">
        <v>4.83</v>
      </c>
      <c r="I23" t="s">
        <v>14</v>
      </c>
      <c r="J23" t="s">
        <v>15</v>
      </c>
      <c r="K23" t="s">
        <v>16</v>
      </c>
      <c r="L23">
        <f t="shared" si="1"/>
        <v>4</v>
      </c>
      <c r="M23">
        <f t="shared" si="2"/>
        <v>5</v>
      </c>
      <c r="N23" t="str">
        <f t="shared" si="3"/>
        <v>HIGH</v>
      </c>
      <c r="O23">
        <v>320.39999999999998</v>
      </c>
    </row>
    <row r="24" spans="1:15" x14ac:dyDescent="0.2">
      <c r="A24" t="s">
        <v>37</v>
      </c>
      <c r="B24" t="s">
        <v>59</v>
      </c>
      <c r="C24" t="s">
        <v>13</v>
      </c>
      <c r="D24">
        <v>126</v>
      </c>
      <c r="E24">
        <v>0.41470000000000001</v>
      </c>
      <c r="F24">
        <f t="shared" si="0"/>
        <v>325.83</v>
      </c>
      <c r="G24">
        <v>2.2400000000000002</v>
      </c>
      <c r="H24">
        <v>4.92</v>
      </c>
      <c r="I24" t="s">
        <v>14</v>
      </c>
      <c r="J24" t="s">
        <v>15</v>
      </c>
      <c r="K24" t="s">
        <v>16</v>
      </c>
      <c r="L24">
        <f t="shared" si="1"/>
        <v>4</v>
      </c>
      <c r="M24">
        <f t="shared" si="2"/>
        <v>5</v>
      </c>
      <c r="N24" t="str">
        <f t="shared" si="3"/>
        <v>HIGH</v>
      </c>
      <c r="O24">
        <v>325.83</v>
      </c>
    </row>
    <row r="25" spans="1:15" x14ac:dyDescent="0.2">
      <c r="A25" t="s">
        <v>37</v>
      </c>
      <c r="B25" t="s">
        <v>60</v>
      </c>
      <c r="C25" t="s">
        <v>13</v>
      </c>
      <c r="D25">
        <v>12</v>
      </c>
      <c r="E25">
        <v>0.41439999999999999</v>
      </c>
      <c r="F25">
        <f t="shared" si="0"/>
        <v>212.92</v>
      </c>
      <c r="G25">
        <v>2.31</v>
      </c>
      <c r="H25">
        <v>4.7699999999999996</v>
      </c>
      <c r="I25" t="s">
        <v>14</v>
      </c>
      <c r="J25" t="s">
        <v>15</v>
      </c>
      <c r="K25" t="s">
        <v>16</v>
      </c>
      <c r="L25">
        <f t="shared" si="1"/>
        <v>4</v>
      </c>
      <c r="M25">
        <f t="shared" si="2"/>
        <v>5</v>
      </c>
      <c r="N25" t="str">
        <f t="shared" si="3"/>
        <v>HIGH</v>
      </c>
      <c r="O25">
        <v>212.92</v>
      </c>
    </row>
    <row r="26" spans="1:15" x14ac:dyDescent="0.2">
      <c r="A26" t="s">
        <v>37</v>
      </c>
      <c r="B26" t="s">
        <v>61</v>
      </c>
      <c r="C26" t="s">
        <v>13</v>
      </c>
      <c r="D26">
        <v>24</v>
      </c>
      <c r="E26">
        <v>0.3881</v>
      </c>
      <c r="F26">
        <f t="shared" si="0"/>
        <v>310.33999999999997</v>
      </c>
      <c r="G26">
        <v>2.57</v>
      </c>
      <c r="H26">
        <v>4.8600000000000003</v>
      </c>
      <c r="I26" t="s">
        <v>14</v>
      </c>
      <c r="J26" t="s">
        <v>15</v>
      </c>
      <c r="K26" t="s">
        <v>16</v>
      </c>
      <c r="L26">
        <f t="shared" si="1"/>
        <v>3</v>
      </c>
      <c r="M26">
        <f t="shared" si="2"/>
        <v>5</v>
      </c>
      <c r="N26" t="str">
        <f t="shared" si="3"/>
        <v>HIGH</v>
      </c>
      <c r="O26">
        <v>310.33999999999997</v>
      </c>
    </row>
    <row r="27" spans="1:15" x14ac:dyDescent="0.2">
      <c r="A27" t="s">
        <v>37</v>
      </c>
      <c r="B27" t="s">
        <v>63</v>
      </c>
      <c r="C27" t="s">
        <v>13</v>
      </c>
      <c r="D27">
        <v>68</v>
      </c>
      <c r="E27">
        <v>0.37109999999999999</v>
      </c>
      <c r="F27">
        <f t="shared" si="0"/>
        <v>270.92</v>
      </c>
      <c r="G27">
        <v>2.2999999999999998</v>
      </c>
      <c r="H27">
        <v>4.8600000000000003</v>
      </c>
      <c r="I27" t="s">
        <v>14</v>
      </c>
      <c r="J27" t="s">
        <v>15</v>
      </c>
      <c r="K27" t="s">
        <v>16</v>
      </c>
      <c r="L27">
        <f t="shared" si="1"/>
        <v>3</v>
      </c>
      <c r="M27">
        <f t="shared" si="2"/>
        <v>5</v>
      </c>
      <c r="N27" t="str">
        <f t="shared" si="3"/>
        <v>HIGH</v>
      </c>
      <c r="O27">
        <v>270.92</v>
      </c>
    </row>
    <row r="28" spans="1:15" x14ac:dyDescent="0.2">
      <c r="A28" t="s">
        <v>37</v>
      </c>
      <c r="B28" t="s">
        <v>67</v>
      </c>
      <c r="C28" t="s">
        <v>13</v>
      </c>
      <c r="D28">
        <v>14</v>
      </c>
      <c r="E28">
        <v>0.3624</v>
      </c>
      <c r="F28">
        <f t="shared" si="0"/>
        <v>281.27999999999997</v>
      </c>
      <c r="G28">
        <v>1.9</v>
      </c>
      <c r="H28">
        <v>4.8899999999999997</v>
      </c>
      <c r="I28" t="s">
        <v>14</v>
      </c>
      <c r="J28" t="s">
        <v>15</v>
      </c>
      <c r="K28" t="s">
        <v>16</v>
      </c>
      <c r="L28">
        <f t="shared" si="1"/>
        <v>3</v>
      </c>
      <c r="M28">
        <f t="shared" si="2"/>
        <v>5</v>
      </c>
      <c r="N28" t="str">
        <f t="shared" si="3"/>
        <v>HIGH</v>
      </c>
      <c r="O28">
        <v>281.27999999999997</v>
      </c>
    </row>
    <row r="29" spans="1:15" x14ac:dyDescent="0.2">
      <c r="A29" t="s">
        <v>76</v>
      </c>
      <c r="B29" t="s">
        <v>77</v>
      </c>
      <c r="C29" t="s">
        <v>78</v>
      </c>
      <c r="D29">
        <v>32</v>
      </c>
      <c r="E29">
        <v>0.68110000000000004</v>
      </c>
      <c r="F29">
        <f t="shared" si="0"/>
        <v>236.45</v>
      </c>
      <c r="G29">
        <v>2.69</v>
      </c>
      <c r="H29">
        <v>4.62</v>
      </c>
      <c r="I29" t="s">
        <v>14</v>
      </c>
      <c r="J29" t="s">
        <v>15</v>
      </c>
      <c r="K29" t="s">
        <v>16</v>
      </c>
      <c r="L29">
        <f t="shared" si="1"/>
        <v>5</v>
      </c>
      <c r="M29">
        <f t="shared" si="2"/>
        <v>5</v>
      </c>
      <c r="N29" t="str">
        <f t="shared" si="3"/>
        <v>HIGH</v>
      </c>
      <c r="O29">
        <v>236.45</v>
      </c>
    </row>
    <row r="30" spans="1:15" x14ac:dyDescent="0.2">
      <c r="A30" t="s">
        <v>76</v>
      </c>
      <c r="B30" t="s">
        <v>80</v>
      </c>
      <c r="C30" t="s">
        <v>81</v>
      </c>
      <c r="D30">
        <v>14</v>
      </c>
      <c r="E30">
        <v>0.61150000000000004</v>
      </c>
      <c r="F30">
        <f t="shared" si="0"/>
        <v>326.24</v>
      </c>
      <c r="G30">
        <v>3.57</v>
      </c>
      <c r="H30">
        <v>4.91</v>
      </c>
      <c r="I30" t="s">
        <v>14</v>
      </c>
      <c r="J30" t="s">
        <v>15</v>
      </c>
      <c r="K30" t="s">
        <v>16</v>
      </c>
      <c r="L30">
        <f t="shared" si="1"/>
        <v>5</v>
      </c>
      <c r="M30">
        <f t="shared" si="2"/>
        <v>5</v>
      </c>
      <c r="N30" t="str">
        <f t="shared" si="3"/>
        <v>HIGH</v>
      </c>
      <c r="O30">
        <v>326.24</v>
      </c>
    </row>
    <row r="31" spans="1:15" x14ac:dyDescent="0.2">
      <c r="A31" t="s">
        <v>76</v>
      </c>
      <c r="B31" t="s">
        <v>82</v>
      </c>
      <c r="C31" t="s">
        <v>81</v>
      </c>
      <c r="D31">
        <v>14</v>
      </c>
      <c r="E31">
        <v>0.60270000000000001</v>
      </c>
      <c r="F31">
        <f t="shared" si="0"/>
        <v>343.27</v>
      </c>
      <c r="G31">
        <v>1.94</v>
      </c>
      <c r="H31">
        <v>4.91</v>
      </c>
      <c r="I31" t="s">
        <v>14</v>
      </c>
      <c r="J31" t="s">
        <v>15</v>
      </c>
      <c r="K31" t="s">
        <v>16</v>
      </c>
      <c r="L31">
        <f t="shared" si="1"/>
        <v>5</v>
      </c>
      <c r="M31">
        <f t="shared" si="2"/>
        <v>5</v>
      </c>
      <c r="N31" t="str">
        <f t="shared" si="3"/>
        <v>HIGH</v>
      </c>
      <c r="O31">
        <v>343.27</v>
      </c>
    </row>
    <row r="32" spans="1:15" x14ac:dyDescent="0.2">
      <c r="A32" t="s">
        <v>76</v>
      </c>
      <c r="B32" t="s">
        <v>84</v>
      </c>
      <c r="C32" t="s">
        <v>85</v>
      </c>
      <c r="D32">
        <v>11</v>
      </c>
      <c r="E32">
        <v>0.56859999999999999</v>
      </c>
      <c r="F32">
        <f t="shared" si="0"/>
        <v>197.86</v>
      </c>
      <c r="G32">
        <v>3.47</v>
      </c>
      <c r="H32">
        <v>4.79</v>
      </c>
      <c r="I32" t="s">
        <v>14</v>
      </c>
      <c r="J32" t="s">
        <v>15</v>
      </c>
      <c r="K32" t="s">
        <v>16</v>
      </c>
      <c r="L32">
        <f t="shared" si="1"/>
        <v>5</v>
      </c>
      <c r="M32">
        <f t="shared" si="2"/>
        <v>5</v>
      </c>
      <c r="N32" t="str">
        <f t="shared" si="3"/>
        <v>HIGH</v>
      </c>
      <c r="O32">
        <v>197.86</v>
      </c>
    </row>
    <row r="33" spans="1:15" x14ac:dyDescent="0.2">
      <c r="A33" t="s">
        <v>76</v>
      </c>
      <c r="B33" t="s">
        <v>86</v>
      </c>
      <c r="C33" t="s">
        <v>78</v>
      </c>
      <c r="D33">
        <v>12</v>
      </c>
      <c r="E33">
        <v>0.56689999999999996</v>
      </c>
      <c r="F33">
        <f t="shared" si="0"/>
        <v>313.16000000000003</v>
      </c>
      <c r="G33">
        <v>1.55</v>
      </c>
      <c r="H33">
        <v>4.7300000000000004</v>
      </c>
      <c r="I33" t="s">
        <v>14</v>
      </c>
      <c r="J33" t="s">
        <v>15</v>
      </c>
      <c r="K33" t="s">
        <v>16</v>
      </c>
      <c r="L33">
        <f t="shared" si="1"/>
        <v>5</v>
      </c>
      <c r="M33">
        <f t="shared" si="2"/>
        <v>5</v>
      </c>
      <c r="N33" t="str">
        <f t="shared" si="3"/>
        <v>HIGH</v>
      </c>
      <c r="O33">
        <v>313.16000000000003</v>
      </c>
    </row>
    <row r="34" spans="1:15" x14ac:dyDescent="0.2">
      <c r="A34" t="s">
        <v>76</v>
      </c>
      <c r="B34" t="s">
        <v>88</v>
      </c>
      <c r="C34" t="s">
        <v>81</v>
      </c>
      <c r="D34">
        <v>10</v>
      </c>
      <c r="E34">
        <v>0.55889999999999995</v>
      </c>
      <c r="F34">
        <f t="shared" ref="F34:F65" si="4">IF(A34="Mexico City",O34/20,O34)</f>
        <v>332.34</v>
      </c>
      <c r="G34">
        <v>2.97</v>
      </c>
      <c r="H34">
        <v>4.93</v>
      </c>
      <c r="I34" t="s">
        <v>14</v>
      </c>
      <c r="J34" t="s">
        <v>15</v>
      </c>
      <c r="K34" t="s">
        <v>16</v>
      </c>
      <c r="L34">
        <f t="shared" ref="L34:L65" si="5">IF(E34&gt;0.5,5,IF(E34&gt;0.4,4, IF(E34&gt;0.3,3,IF(E34&gt;0.2,2,1))))</f>
        <v>5</v>
      </c>
      <c r="M34">
        <f t="shared" ref="M34:M65" si="6">IF(AND(I34="above average",J34="lag"),5,IF(AND(I34="above average",J34="premium"),3,IF(AND(I34="below average",J34="lag"),2,1)))</f>
        <v>5</v>
      </c>
      <c r="N34" t="str">
        <f t="shared" ref="N34:N65" si="7">IF(K34="opportunity","HIGH",IF(K34="high demand","MEDIUM",IF(K34="overpriced","LOW","PASS")))</f>
        <v>HIGH</v>
      </c>
      <c r="O34">
        <v>332.34</v>
      </c>
    </row>
    <row r="35" spans="1:15" x14ac:dyDescent="0.2">
      <c r="A35" t="s">
        <v>76</v>
      </c>
      <c r="B35" t="s">
        <v>90</v>
      </c>
      <c r="C35" t="s">
        <v>85</v>
      </c>
      <c r="D35">
        <v>26</v>
      </c>
      <c r="E35">
        <v>0.53669999999999995</v>
      </c>
      <c r="F35">
        <f t="shared" si="4"/>
        <v>270.29000000000002</v>
      </c>
      <c r="G35">
        <v>2.4900000000000002</v>
      </c>
      <c r="H35">
        <v>4.8</v>
      </c>
      <c r="I35" t="s">
        <v>14</v>
      </c>
      <c r="J35" t="s">
        <v>15</v>
      </c>
      <c r="K35" t="s">
        <v>16</v>
      </c>
      <c r="L35">
        <f t="shared" si="5"/>
        <v>5</v>
      </c>
      <c r="M35">
        <f t="shared" si="6"/>
        <v>5</v>
      </c>
      <c r="N35" t="str">
        <f t="shared" si="7"/>
        <v>HIGH</v>
      </c>
      <c r="O35">
        <v>270.29000000000002</v>
      </c>
    </row>
    <row r="36" spans="1:15" x14ac:dyDescent="0.2">
      <c r="A36" t="s">
        <v>76</v>
      </c>
      <c r="B36" t="s">
        <v>93</v>
      </c>
      <c r="C36" t="s">
        <v>81</v>
      </c>
      <c r="D36">
        <v>27</v>
      </c>
      <c r="E36">
        <v>0.51749999999999996</v>
      </c>
      <c r="F36">
        <f t="shared" si="4"/>
        <v>339.58</v>
      </c>
      <c r="G36">
        <v>2.79</v>
      </c>
      <c r="H36">
        <v>4.91</v>
      </c>
      <c r="I36" t="s">
        <v>14</v>
      </c>
      <c r="J36" t="s">
        <v>15</v>
      </c>
      <c r="K36" t="s">
        <v>16</v>
      </c>
      <c r="L36">
        <f t="shared" si="5"/>
        <v>5</v>
      </c>
      <c r="M36">
        <f t="shared" si="6"/>
        <v>5</v>
      </c>
      <c r="N36" t="str">
        <f t="shared" si="7"/>
        <v>HIGH</v>
      </c>
      <c r="O36">
        <v>339.58</v>
      </c>
    </row>
    <row r="37" spans="1:15" x14ac:dyDescent="0.2">
      <c r="A37" t="s">
        <v>76</v>
      </c>
      <c r="B37" t="s">
        <v>97</v>
      </c>
      <c r="C37" t="s">
        <v>81</v>
      </c>
      <c r="D37">
        <v>18</v>
      </c>
      <c r="E37">
        <v>0.49030000000000001</v>
      </c>
      <c r="F37">
        <f t="shared" si="4"/>
        <v>277.18</v>
      </c>
      <c r="G37">
        <v>2.73</v>
      </c>
      <c r="H37">
        <v>4.8099999999999996</v>
      </c>
      <c r="I37" t="s">
        <v>14</v>
      </c>
      <c r="J37" t="s">
        <v>15</v>
      </c>
      <c r="K37" t="s">
        <v>16</v>
      </c>
      <c r="L37">
        <f t="shared" si="5"/>
        <v>4</v>
      </c>
      <c r="M37">
        <f t="shared" si="6"/>
        <v>5</v>
      </c>
      <c r="N37" t="str">
        <f t="shared" si="7"/>
        <v>HIGH</v>
      </c>
      <c r="O37">
        <v>277.18</v>
      </c>
    </row>
    <row r="38" spans="1:15" x14ac:dyDescent="0.2">
      <c r="A38" t="s">
        <v>76</v>
      </c>
      <c r="B38" t="s">
        <v>98</v>
      </c>
      <c r="C38" t="s">
        <v>85</v>
      </c>
      <c r="D38">
        <v>10</v>
      </c>
      <c r="E38">
        <v>0.48470000000000002</v>
      </c>
      <c r="F38">
        <f t="shared" si="4"/>
        <v>291.05</v>
      </c>
      <c r="G38">
        <v>1.99</v>
      </c>
      <c r="H38">
        <v>4.88</v>
      </c>
      <c r="I38" t="s">
        <v>14</v>
      </c>
      <c r="J38" t="s">
        <v>15</v>
      </c>
      <c r="K38" t="s">
        <v>16</v>
      </c>
      <c r="L38">
        <f t="shared" si="5"/>
        <v>4</v>
      </c>
      <c r="M38">
        <f t="shared" si="6"/>
        <v>5</v>
      </c>
      <c r="N38" t="str">
        <f t="shared" si="7"/>
        <v>HIGH</v>
      </c>
      <c r="O38">
        <v>291.05</v>
      </c>
    </row>
    <row r="39" spans="1:15" x14ac:dyDescent="0.2">
      <c r="A39" t="s">
        <v>76</v>
      </c>
      <c r="B39" t="s">
        <v>99</v>
      </c>
      <c r="C39" t="s">
        <v>81</v>
      </c>
      <c r="D39">
        <v>110</v>
      </c>
      <c r="E39">
        <v>0.48449999999999999</v>
      </c>
      <c r="F39">
        <f t="shared" si="4"/>
        <v>294.89</v>
      </c>
      <c r="G39">
        <v>2.52</v>
      </c>
      <c r="H39">
        <v>4.83</v>
      </c>
      <c r="I39" t="s">
        <v>14</v>
      </c>
      <c r="J39" t="s">
        <v>15</v>
      </c>
      <c r="K39" t="s">
        <v>16</v>
      </c>
      <c r="L39">
        <f t="shared" si="5"/>
        <v>4</v>
      </c>
      <c r="M39">
        <f t="shared" si="6"/>
        <v>5</v>
      </c>
      <c r="N39" t="str">
        <f t="shared" si="7"/>
        <v>HIGH</v>
      </c>
      <c r="O39">
        <v>294.89</v>
      </c>
    </row>
    <row r="40" spans="1:15" x14ac:dyDescent="0.2">
      <c r="A40" t="s">
        <v>76</v>
      </c>
      <c r="B40" t="s">
        <v>100</v>
      </c>
      <c r="C40" t="s">
        <v>81</v>
      </c>
      <c r="D40">
        <v>29</v>
      </c>
      <c r="E40">
        <v>0.4834</v>
      </c>
      <c r="F40">
        <f t="shared" si="4"/>
        <v>259.69</v>
      </c>
      <c r="G40">
        <v>2.42</v>
      </c>
      <c r="H40">
        <v>4.82</v>
      </c>
      <c r="I40" t="s">
        <v>14</v>
      </c>
      <c r="J40" t="s">
        <v>15</v>
      </c>
      <c r="K40" t="s">
        <v>16</v>
      </c>
      <c r="L40">
        <f t="shared" si="5"/>
        <v>4</v>
      </c>
      <c r="M40">
        <f t="shared" si="6"/>
        <v>5</v>
      </c>
      <c r="N40" t="str">
        <f t="shared" si="7"/>
        <v>HIGH</v>
      </c>
      <c r="O40">
        <v>259.69</v>
      </c>
    </row>
    <row r="41" spans="1:15" x14ac:dyDescent="0.2">
      <c r="A41" t="s">
        <v>76</v>
      </c>
      <c r="B41" t="s">
        <v>101</v>
      </c>
      <c r="C41" t="s">
        <v>85</v>
      </c>
      <c r="D41">
        <v>22</v>
      </c>
      <c r="E41">
        <v>0.47560000000000002</v>
      </c>
      <c r="F41">
        <f t="shared" si="4"/>
        <v>275.83</v>
      </c>
      <c r="G41">
        <v>2.54</v>
      </c>
      <c r="H41">
        <v>4.91</v>
      </c>
      <c r="I41" t="s">
        <v>14</v>
      </c>
      <c r="J41" t="s">
        <v>15</v>
      </c>
      <c r="K41" t="s">
        <v>16</v>
      </c>
      <c r="L41">
        <f t="shared" si="5"/>
        <v>4</v>
      </c>
      <c r="M41">
        <f t="shared" si="6"/>
        <v>5</v>
      </c>
      <c r="N41" t="str">
        <f t="shared" si="7"/>
        <v>HIGH</v>
      </c>
      <c r="O41">
        <v>275.83</v>
      </c>
    </row>
    <row r="42" spans="1:15" x14ac:dyDescent="0.2">
      <c r="A42" t="s">
        <v>76</v>
      </c>
      <c r="B42" t="s">
        <v>102</v>
      </c>
      <c r="C42" t="s">
        <v>103</v>
      </c>
      <c r="D42">
        <v>11</v>
      </c>
      <c r="E42">
        <v>0.47549999999999998</v>
      </c>
      <c r="F42">
        <f t="shared" si="4"/>
        <v>141.22999999999999</v>
      </c>
      <c r="G42">
        <v>3.17</v>
      </c>
      <c r="H42">
        <v>4.83</v>
      </c>
      <c r="I42" t="s">
        <v>14</v>
      </c>
      <c r="J42" t="s">
        <v>15</v>
      </c>
      <c r="K42" t="s">
        <v>16</v>
      </c>
      <c r="L42">
        <f t="shared" si="5"/>
        <v>4</v>
      </c>
      <c r="M42">
        <f t="shared" si="6"/>
        <v>5</v>
      </c>
      <c r="N42" t="str">
        <f t="shared" si="7"/>
        <v>HIGH</v>
      </c>
      <c r="O42">
        <v>141.22999999999999</v>
      </c>
    </row>
    <row r="43" spans="1:15" x14ac:dyDescent="0.2">
      <c r="A43" t="s">
        <v>76</v>
      </c>
      <c r="B43" t="s">
        <v>105</v>
      </c>
      <c r="C43" t="s">
        <v>81</v>
      </c>
      <c r="D43">
        <v>45</v>
      </c>
      <c r="E43">
        <v>0.46939999999999998</v>
      </c>
      <c r="F43">
        <f t="shared" si="4"/>
        <v>221.54</v>
      </c>
      <c r="G43">
        <v>3.43</v>
      </c>
      <c r="H43">
        <v>4.8099999999999996</v>
      </c>
      <c r="I43" t="s">
        <v>14</v>
      </c>
      <c r="J43" t="s">
        <v>15</v>
      </c>
      <c r="K43" t="s">
        <v>16</v>
      </c>
      <c r="L43">
        <f t="shared" si="5"/>
        <v>4</v>
      </c>
      <c r="M43">
        <f t="shared" si="6"/>
        <v>5</v>
      </c>
      <c r="N43" t="str">
        <f t="shared" si="7"/>
        <v>HIGH</v>
      </c>
      <c r="O43">
        <v>221.54</v>
      </c>
    </row>
    <row r="44" spans="1:15" x14ac:dyDescent="0.2">
      <c r="A44" t="s">
        <v>76</v>
      </c>
      <c r="B44" t="s">
        <v>106</v>
      </c>
      <c r="C44" t="s">
        <v>81</v>
      </c>
      <c r="D44">
        <v>276</v>
      </c>
      <c r="E44">
        <v>0.46860000000000002</v>
      </c>
      <c r="F44">
        <f t="shared" si="4"/>
        <v>272.64999999999998</v>
      </c>
      <c r="G44">
        <v>2.9</v>
      </c>
      <c r="H44">
        <v>4.84</v>
      </c>
      <c r="I44" t="s">
        <v>14</v>
      </c>
      <c r="J44" t="s">
        <v>15</v>
      </c>
      <c r="K44" t="s">
        <v>16</v>
      </c>
      <c r="L44">
        <f t="shared" si="5"/>
        <v>4</v>
      </c>
      <c r="M44">
        <f t="shared" si="6"/>
        <v>5</v>
      </c>
      <c r="N44" t="str">
        <f t="shared" si="7"/>
        <v>HIGH</v>
      </c>
      <c r="O44">
        <v>272.64999999999998</v>
      </c>
    </row>
    <row r="45" spans="1:15" x14ac:dyDescent="0.2">
      <c r="A45" t="s">
        <v>76</v>
      </c>
      <c r="B45" t="s">
        <v>109</v>
      </c>
      <c r="C45" t="s">
        <v>78</v>
      </c>
      <c r="D45">
        <v>29</v>
      </c>
      <c r="E45">
        <v>0.45469999999999999</v>
      </c>
      <c r="F45">
        <f t="shared" si="4"/>
        <v>298.97000000000003</v>
      </c>
      <c r="G45">
        <v>3.23</v>
      </c>
      <c r="H45">
        <v>4.54</v>
      </c>
      <c r="I45" t="s">
        <v>14</v>
      </c>
      <c r="J45" t="s">
        <v>15</v>
      </c>
      <c r="K45" t="s">
        <v>16</v>
      </c>
      <c r="L45">
        <f t="shared" si="5"/>
        <v>4</v>
      </c>
      <c r="M45">
        <f t="shared" si="6"/>
        <v>5</v>
      </c>
      <c r="N45" t="str">
        <f t="shared" si="7"/>
        <v>HIGH</v>
      </c>
      <c r="O45">
        <v>298.97000000000003</v>
      </c>
    </row>
    <row r="46" spans="1:15" x14ac:dyDescent="0.2">
      <c r="A46" t="s">
        <v>76</v>
      </c>
      <c r="B46" t="s">
        <v>110</v>
      </c>
      <c r="C46" t="s">
        <v>85</v>
      </c>
      <c r="D46">
        <v>11</v>
      </c>
      <c r="E46">
        <v>0.4541</v>
      </c>
      <c r="F46">
        <f t="shared" si="4"/>
        <v>203.01</v>
      </c>
      <c r="G46">
        <v>2.69</v>
      </c>
      <c r="H46">
        <v>4.91</v>
      </c>
      <c r="I46" t="s">
        <v>14</v>
      </c>
      <c r="J46" t="s">
        <v>15</v>
      </c>
      <c r="K46" t="s">
        <v>16</v>
      </c>
      <c r="L46">
        <f t="shared" si="5"/>
        <v>4</v>
      </c>
      <c r="M46">
        <f t="shared" si="6"/>
        <v>5</v>
      </c>
      <c r="N46" t="str">
        <f t="shared" si="7"/>
        <v>HIGH</v>
      </c>
      <c r="O46">
        <v>203.01</v>
      </c>
    </row>
    <row r="47" spans="1:15" x14ac:dyDescent="0.2">
      <c r="A47" t="s">
        <v>76</v>
      </c>
      <c r="B47" t="s">
        <v>111</v>
      </c>
      <c r="C47" t="s">
        <v>78</v>
      </c>
      <c r="D47">
        <v>62</v>
      </c>
      <c r="E47">
        <v>0.44879999999999998</v>
      </c>
      <c r="F47">
        <f t="shared" si="4"/>
        <v>303.13</v>
      </c>
      <c r="G47">
        <v>3.08</v>
      </c>
      <c r="H47">
        <v>4.6399999999999997</v>
      </c>
      <c r="I47" t="s">
        <v>14</v>
      </c>
      <c r="J47" t="s">
        <v>15</v>
      </c>
      <c r="K47" t="s">
        <v>16</v>
      </c>
      <c r="L47">
        <f t="shared" si="5"/>
        <v>4</v>
      </c>
      <c r="M47">
        <f t="shared" si="6"/>
        <v>5</v>
      </c>
      <c r="N47" t="str">
        <f t="shared" si="7"/>
        <v>HIGH</v>
      </c>
      <c r="O47">
        <v>303.13</v>
      </c>
    </row>
    <row r="48" spans="1:15" x14ac:dyDescent="0.2">
      <c r="A48" t="s">
        <v>76</v>
      </c>
      <c r="B48" t="s">
        <v>113</v>
      </c>
      <c r="C48" t="s">
        <v>81</v>
      </c>
      <c r="D48">
        <v>111</v>
      </c>
      <c r="E48">
        <v>0.42880000000000001</v>
      </c>
      <c r="F48">
        <f t="shared" si="4"/>
        <v>233.28</v>
      </c>
      <c r="G48">
        <v>3.22</v>
      </c>
      <c r="H48">
        <v>4.8499999999999996</v>
      </c>
      <c r="I48" t="s">
        <v>14</v>
      </c>
      <c r="J48" t="s">
        <v>15</v>
      </c>
      <c r="K48" t="s">
        <v>16</v>
      </c>
      <c r="L48">
        <f t="shared" si="5"/>
        <v>4</v>
      </c>
      <c r="M48">
        <f t="shared" si="6"/>
        <v>5</v>
      </c>
      <c r="N48" t="str">
        <f t="shared" si="7"/>
        <v>HIGH</v>
      </c>
      <c r="O48">
        <v>233.28</v>
      </c>
    </row>
    <row r="49" spans="1:15" x14ac:dyDescent="0.2">
      <c r="A49" t="s">
        <v>76</v>
      </c>
      <c r="B49" t="s">
        <v>116</v>
      </c>
      <c r="C49" t="s">
        <v>85</v>
      </c>
      <c r="D49">
        <v>11</v>
      </c>
      <c r="E49">
        <v>0.4224</v>
      </c>
      <c r="F49">
        <f t="shared" si="4"/>
        <v>226.74</v>
      </c>
      <c r="G49">
        <v>2.2799999999999998</v>
      </c>
      <c r="H49">
        <v>4.71</v>
      </c>
      <c r="I49" t="s">
        <v>14</v>
      </c>
      <c r="J49" t="s">
        <v>15</v>
      </c>
      <c r="K49" t="s">
        <v>16</v>
      </c>
      <c r="L49">
        <f t="shared" si="5"/>
        <v>4</v>
      </c>
      <c r="M49">
        <f t="shared" si="6"/>
        <v>5</v>
      </c>
      <c r="N49" t="str">
        <f t="shared" si="7"/>
        <v>HIGH</v>
      </c>
      <c r="O49">
        <v>226.74</v>
      </c>
    </row>
    <row r="50" spans="1:15" x14ac:dyDescent="0.2">
      <c r="A50" t="s">
        <v>76</v>
      </c>
      <c r="B50" t="s">
        <v>117</v>
      </c>
      <c r="C50" t="s">
        <v>78</v>
      </c>
      <c r="D50">
        <v>46</v>
      </c>
      <c r="E50">
        <v>0.4224</v>
      </c>
      <c r="F50">
        <f t="shared" si="4"/>
        <v>307.36</v>
      </c>
      <c r="G50">
        <v>2.27</v>
      </c>
      <c r="H50">
        <v>4.78</v>
      </c>
      <c r="I50" t="s">
        <v>14</v>
      </c>
      <c r="J50" t="s">
        <v>15</v>
      </c>
      <c r="K50" t="s">
        <v>16</v>
      </c>
      <c r="L50">
        <f t="shared" si="5"/>
        <v>4</v>
      </c>
      <c r="M50">
        <f t="shared" si="6"/>
        <v>5</v>
      </c>
      <c r="N50" t="str">
        <f t="shared" si="7"/>
        <v>HIGH</v>
      </c>
      <c r="O50">
        <v>307.36</v>
      </c>
    </row>
    <row r="51" spans="1:15" x14ac:dyDescent="0.2">
      <c r="A51" t="s">
        <v>76</v>
      </c>
      <c r="B51" t="s">
        <v>118</v>
      </c>
      <c r="C51" t="s">
        <v>85</v>
      </c>
      <c r="D51">
        <v>23</v>
      </c>
      <c r="E51">
        <v>0.41820000000000002</v>
      </c>
      <c r="F51">
        <f t="shared" si="4"/>
        <v>216.69</v>
      </c>
      <c r="G51">
        <v>3.32</v>
      </c>
      <c r="H51">
        <v>4.8600000000000003</v>
      </c>
      <c r="I51" t="s">
        <v>14</v>
      </c>
      <c r="J51" t="s">
        <v>15</v>
      </c>
      <c r="K51" t="s">
        <v>16</v>
      </c>
      <c r="L51">
        <f t="shared" si="5"/>
        <v>4</v>
      </c>
      <c r="M51">
        <f t="shared" si="6"/>
        <v>5</v>
      </c>
      <c r="N51" t="str">
        <f t="shared" si="7"/>
        <v>HIGH</v>
      </c>
      <c r="O51">
        <v>216.69</v>
      </c>
    </row>
    <row r="52" spans="1:15" x14ac:dyDescent="0.2">
      <c r="A52" t="s">
        <v>76</v>
      </c>
      <c r="B52" t="s">
        <v>119</v>
      </c>
      <c r="C52" t="s">
        <v>81</v>
      </c>
      <c r="D52">
        <v>48</v>
      </c>
      <c r="E52">
        <v>0.41649999999999998</v>
      </c>
      <c r="F52">
        <f t="shared" si="4"/>
        <v>241.68</v>
      </c>
      <c r="G52">
        <v>2.02</v>
      </c>
      <c r="H52">
        <v>4.84</v>
      </c>
      <c r="I52" t="s">
        <v>14</v>
      </c>
      <c r="J52" t="s">
        <v>15</v>
      </c>
      <c r="K52" t="s">
        <v>16</v>
      </c>
      <c r="L52">
        <f t="shared" si="5"/>
        <v>4</v>
      </c>
      <c r="M52">
        <f t="shared" si="6"/>
        <v>5</v>
      </c>
      <c r="N52" t="str">
        <f t="shared" si="7"/>
        <v>HIGH</v>
      </c>
      <c r="O52">
        <v>241.68</v>
      </c>
    </row>
    <row r="53" spans="1:15" x14ac:dyDescent="0.2">
      <c r="A53" t="s">
        <v>76</v>
      </c>
      <c r="B53" t="s">
        <v>120</v>
      </c>
      <c r="C53" t="s">
        <v>81</v>
      </c>
      <c r="D53">
        <v>30</v>
      </c>
      <c r="E53">
        <v>0.41639999999999999</v>
      </c>
      <c r="F53">
        <f t="shared" si="4"/>
        <v>293.01</v>
      </c>
      <c r="G53">
        <v>2.85</v>
      </c>
      <c r="H53">
        <v>4.8499999999999996</v>
      </c>
      <c r="I53" t="s">
        <v>14</v>
      </c>
      <c r="J53" t="s">
        <v>15</v>
      </c>
      <c r="K53" t="s">
        <v>16</v>
      </c>
      <c r="L53">
        <f t="shared" si="5"/>
        <v>4</v>
      </c>
      <c r="M53">
        <f t="shared" si="6"/>
        <v>5</v>
      </c>
      <c r="N53" t="str">
        <f t="shared" si="7"/>
        <v>HIGH</v>
      </c>
      <c r="O53">
        <v>293.01</v>
      </c>
    </row>
    <row r="54" spans="1:15" x14ac:dyDescent="0.2">
      <c r="A54" t="s">
        <v>76</v>
      </c>
      <c r="B54" t="s">
        <v>121</v>
      </c>
      <c r="C54" t="s">
        <v>78</v>
      </c>
      <c r="D54">
        <v>121</v>
      </c>
      <c r="E54">
        <v>0.41339999999999999</v>
      </c>
      <c r="F54">
        <f t="shared" si="4"/>
        <v>295.86</v>
      </c>
      <c r="G54">
        <v>3.87</v>
      </c>
      <c r="H54">
        <v>4.51</v>
      </c>
      <c r="I54" t="s">
        <v>14</v>
      </c>
      <c r="J54" t="s">
        <v>15</v>
      </c>
      <c r="K54" t="s">
        <v>16</v>
      </c>
      <c r="L54">
        <f t="shared" si="5"/>
        <v>4</v>
      </c>
      <c r="M54">
        <f t="shared" si="6"/>
        <v>5</v>
      </c>
      <c r="N54" t="str">
        <f t="shared" si="7"/>
        <v>HIGH</v>
      </c>
      <c r="O54">
        <v>295.86</v>
      </c>
    </row>
    <row r="55" spans="1:15" x14ac:dyDescent="0.2">
      <c r="A55" t="s">
        <v>76</v>
      </c>
      <c r="B55" t="s">
        <v>122</v>
      </c>
      <c r="C55" t="s">
        <v>85</v>
      </c>
      <c r="D55">
        <v>23</v>
      </c>
      <c r="E55">
        <v>0.4133</v>
      </c>
      <c r="F55">
        <f t="shared" si="4"/>
        <v>185.29</v>
      </c>
      <c r="G55">
        <v>2.73</v>
      </c>
      <c r="H55">
        <v>4.8099999999999996</v>
      </c>
      <c r="I55" t="s">
        <v>14</v>
      </c>
      <c r="J55" t="s">
        <v>15</v>
      </c>
      <c r="K55" t="s">
        <v>16</v>
      </c>
      <c r="L55">
        <f t="shared" si="5"/>
        <v>4</v>
      </c>
      <c r="M55">
        <f t="shared" si="6"/>
        <v>5</v>
      </c>
      <c r="N55" t="str">
        <f t="shared" si="7"/>
        <v>HIGH</v>
      </c>
      <c r="O55">
        <v>185.29</v>
      </c>
    </row>
    <row r="56" spans="1:15" x14ac:dyDescent="0.2">
      <c r="A56" t="s">
        <v>11</v>
      </c>
      <c r="B56" t="s">
        <v>23</v>
      </c>
      <c r="C56" t="s">
        <v>13</v>
      </c>
      <c r="D56">
        <v>3450</v>
      </c>
      <c r="E56">
        <v>0.2989</v>
      </c>
      <c r="F56">
        <f t="shared" si="4"/>
        <v>132.8295</v>
      </c>
      <c r="G56">
        <v>2.0299999999999998</v>
      </c>
      <c r="I56" t="s">
        <v>24</v>
      </c>
      <c r="J56" t="s">
        <v>18</v>
      </c>
      <c r="K56" t="s">
        <v>25</v>
      </c>
      <c r="L56">
        <f t="shared" si="5"/>
        <v>2</v>
      </c>
      <c r="M56">
        <f t="shared" si="6"/>
        <v>1</v>
      </c>
      <c r="N56" t="str">
        <f t="shared" si="7"/>
        <v>LOW</v>
      </c>
      <c r="O56">
        <v>2656.59</v>
      </c>
    </row>
    <row r="57" spans="1:15" x14ac:dyDescent="0.2">
      <c r="A57" t="s">
        <v>11</v>
      </c>
      <c r="B57" t="s">
        <v>28</v>
      </c>
      <c r="C57" t="s">
        <v>13</v>
      </c>
      <c r="D57">
        <v>598</v>
      </c>
      <c r="E57">
        <v>0.26629999999999998</v>
      </c>
      <c r="F57">
        <f t="shared" si="4"/>
        <v>128.74250000000001</v>
      </c>
      <c r="G57">
        <v>1.29</v>
      </c>
      <c r="I57" t="s">
        <v>24</v>
      </c>
      <c r="J57" t="s">
        <v>18</v>
      </c>
      <c r="K57" t="s">
        <v>25</v>
      </c>
      <c r="L57">
        <f t="shared" si="5"/>
        <v>2</v>
      </c>
      <c r="M57">
        <f t="shared" si="6"/>
        <v>1</v>
      </c>
      <c r="N57" t="str">
        <f t="shared" si="7"/>
        <v>LOW</v>
      </c>
      <c r="O57">
        <v>2574.85</v>
      </c>
    </row>
    <row r="58" spans="1:15" x14ac:dyDescent="0.2">
      <c r="A58" t="s">
        <v>11</v>
      </c>
      <c r="B58" t="s">
        <v>31</v>
      </c>
      <c r="C58" t="s">
        <v>13</v>
      </c>
      <c r="D58">
        <v>305</v>
      </c>
      <c r="E58">
        <v>0.2445</v>
      </c>
      <c r="F58">
        <f t="shared" si="4"/>
        <v>130.34</v>
      </c>
      <c r="G58">
        <v>1.66</v>
      </c>
      <c r="I58" t="s">
        <v>24</v>
      </c>
      <c r="J58" t="s">
        <v>18</v>
      </c>
      <c r="K58" t="s">
        <v>25</v>
      </c>
      <c r="L58">
        <f t="shared" si="5"/>
        <v>2</v>
      </c>
      <c r="M58">
        <f t="shared" si="6"/>
        <v>1</v>
      </c>
      <c r="N58" t="str">
        <f t="shared" si="7"/>
        <v>LOW</v>
      </c>
      <c r="O58">
        <v>2606.8000000000002</v>
      </c>
    </row>
    <row r="59" spans="1:15" x14ac:dyDescent="0.2">
      <c r="A59" t="s">
        <v>37</v>
      </c>
      <c r="B59" t="s">
        <v>70</v>
      </c>
      <c r="C59" t="s">
        <v>13</v>
      </c>
      <c r="D59">
        <v>34</v>
      </c>
      <c r="E59">
        <v>0.29899999999999999</v>
      </c>
      <c r="F59">
        <f t="shared" si="4"/>
        <v>465.75</v>
      </c>
      <c r="G59">
        <v>2.82</v>
      </c>
      <c r="H59">
        <v>4.8600000000000003</v>
      </c>
      <c r="I59" t="s">
        <v>24</v>
      </c>
      <c r="J59" t="s">
        <v>18</v>
      </c>
      <c r="K59" t="s">
        <v>25</v>
      </c>
      <c r="L59">
        <f t="shared" si="5"/>
        <v>2</v>
      </c>
      <c r="M59">
        <f t="shared" si="6"/>
        <v>1</v>
      </c>
      <c r="N59" t="str">
        <f t="shared" si="7"/>
        <v>LOW</v>
      </c>
      <c r="O59">
        <v>465.75</v>
      </c>
    </row>
    <row r="60" spans="1:15" x14ac:dyDescent="0.2">
      <c r="A60" t="s">
        <v>37</v>
      </c>
      <c r="B60" t="s">
        <v>73</v>
      </c>
      <c r="C60" t="s">
        <v>13</v>
      </c>
      <c r="D60">
        <v>126</v>
      </c>
      <c r="E60">
        <v>0.25530000000000003</v>
      </c>
      <c r="F60">
        <f t="shared" si="4"/>
        <v>367.09</v>
      </c>
      <c r="G60">
        <v>2.2599999999999998</v>
      </c>
      <c r="H60">
        <v>4.83</v>
      </c>
      <c r="I60" t="s">
        <v>24</v>
      </c>
      <c r="J60" t="s">
        <v>18</v>
      </c>
      <c r="K60" t="s">
        <v>25</v>
      </c>
      <c r="L60">
        <f t="shared" si="5"/>
        <v>2</v>
      </c>
      <c r="M60">
        <f t="shared" si="6"/>
        <v>1</v>
      </c>
      <c r="N60" t="str">
        <f t="shared" si="7"/>
        <v>LOW</v>
      </c>
      <c r="O60">
        <v>367.09</v>
      </c>
    </row>
    <row r="61" spans="1:15" x14ac:dyDescent="0.2">
      <c r="A61" t="s">
        <v>37</v>
      </c>
      <c r="B61" t="s">
        <v>74</v>
      </c>
      <c r="C61" t="s">
        <v>13</v>
      </c>
      <c r="D61">
        <v>18</v>
      </c>
      <c r="E61">
        <v>0.25119999999999998</v>
      </c>
      <c r="F61">
        <f t="shared" si="4"/>
        <v>432.2</v>
      </c>
      <c r="G61">
        <v>1.24</v>
      </c>
      <c r="H61">
        <v>4.8499999999999996</v>
      </c>
      <c r="I61" t="s">
        <v>24</v>
      </c>
      <c r="J61" t="s">
        <v>18</v>
      </c>
      <c r="K61" t="s">
        <v>25</v>
      </c>
      <c r="L61">
        <f t="shared" si="5"/>
        <v>2</v>
      </c>
      <c r="M61">
        <f t="shared" si="6"/>
        <v>1</v>
      </c>
      <c r="N61" t="str">
        <f t="shared" si="7"/>
        <v>LOW</v>
      </c>
      <c r="O61">
        <v>432.2</v>
      </c>
    </row>
    <row r="62" spans="1:15" x14ac:dyDescent="0.2">
      <c r="A62" t="s">
        <v>37</v>
      </c>
      <c r="B62" t="s">
        <v>75</v>
      </c>
      <c r="C62" t="s">
        <v>13</v>
      </c>
      <c r="D62">
        <v>1034</v>
      </c>
      <c r="E62">
        <v>0.22889999999999999</v>
      </c>
      <c r="F62">
        <f t="shared" si="4"/>
        <v>377.23</v>
      </c>
      <c r="G62">
        <v>1.87</v>
      </c>
      <c r="H62">
        <v>4.71</v>
      </c>
      <c r="I62" t="s">
        <v>24</v>
      </c>
      <c r="J62" t="s">
        <v>18</v>
      </c>
      <c r="K62" t="s">
        <v>25</v>
      </c>
      <c r="L62">
        <f t="shared" si="5"/>
        <v>2</v>
      </c>
      <c r="M62">
        <f t="shared" si="6"/>
        <v>1</v>
      </c>
      <c r="N62" t="str">
        <f t="shared" si="7"/>
        <v>LOW</v>
      </c>
      <c r="O62">
        <v>377.23</v>
      </c>
    </row>
    <row r="63" spans="1:15" x14ac:dyDescent="0.2">
      <c r="A63" t="s">
        <v>76</v>
      </c>
      <c r="B63" t="s">
        <v>124</v>
      </c>
      <c r="C63" t="s">
        <v>78</v>
      </c>
      <c r="D63">
        <v>111</v>
      </c>
      <c r="E63">
        <v>0.40400000000000003</v>
      </c>
      <c r="F63">
        <f t="shared" si="4"/>
        <v>542.67999999999995</v>
      </c>
      <c r="G63">
        <v>3.54</v>
      </c>
      <c r="H63">
        <v>4.75</v>
      </c>
      <c r="I63" t="s">
        <v>24</v>
      </c>
      <c r="J63" t="s">
        <v>18</v>
      </c>
      <c r="K63" t="s">
        <v>25</v>
      </c>
      <c r="L63">
        <f t="shared" si="5"/>
        <v>4</v>
      </c>
      <c r="M63">
        <f t="shared" si="6"/>
        <v>1</v>
      </c>
      <c r="N63" t="str">
        <f t="shared" si="7"/>
        <v>LOW</v>
      </c>
      <c r="O63">
        <v>542.67999999999995</v>
      </c>
    </row>
    <row r="64" spans="1:15" x14ac:dyDescent="0.2">
      <c r="A64" t="s">
        <v>76</v>
      </c>
      <c r="B64" t="s">
        <v>125</v>
      </c>
      <c r="C64" t="s">
        <v>78</v>
      </c>
      <c r="D64">
        <v>185</v>
      </c>
      <c r="E64">
        <v>0.4022</v>
      </c>
      <c r="F64">
        <f t="shared" si="4"/>
        <v>457.3</v>
      </c>
      <c r="G64">
        <v>3.7</v>
      </c>
      <c r="H64">
        <v>4.6100000000000003</v>
      </c>
      <c r="I64" t="s">
        <v>24</v>
      </c>
      <c r="J64" t="s">
        <v>18</v>
      </c>
      <c r="K64" t="s">
        <v>25</v>
      </c>
      <c r="L64">
        <f t="shared" si="5"/>
        <v>4</v>
      </c>
      <c r="M64">
        <f t="shared" si="6"/>
        <v>1</v>
      </c>
      <c r="N64" t="str">
        <f t="shared" si="7"/>
        <v>LOW</v>
      </c>
      <c r="O64">
        <v>457.3</v>
      </c>
    </row>
    <row r="65" spans="1:15" x14ac:dyDescent="0.2">
      <c r="A65" t="s">
        <v>76</v>
      </c>
      <c r="B65" t="s">
        <v>132</v>
      </c>
      <c r="C65" t="s">
        <v>78</v>
      </c>
      <c r="D65">
        <v>591</v>
      </c>
      <c r="E65">
        <v>0.38240000000000002</v>
      </c>
      <c r="F65">
        <f t="shared" si="4"/>
        <v>447.48</v>
      </c>
      <c r="G65">
        <v>1.91</v>
      </c>
      <c r="H65">
        <v>4.58</v>
      </c>
      <c r="I65" t="s">
        <v>24</v>
      </c>
      <c r="J65" t="s">
        <v>18</v>
      </c>
      <c r="K65" t="s">
        <v>25</v>
      </c>
      <c r="L65">
        <f t="shared" si="5"/>
        <v>3</v>
      </c>
      <c r="M65">
        <f t="shared" si="6"/>
        <v>1</v>
      </c>
      <c r="N65" t="str">
        <f t="shared" si="7"/>
        <v>LOW</v>
      </c>
      <c r="O65">
        <v>447.48</v>
      </c>
    </row>
    <row r="66" spans="1:15" x14ac:dyDescent="0.2">
      <c r="A66" t="s">
        <v>76</v>
      </c>
      <c r="B66" t="s">
        <v>136</v>
      </c>
      <c r="C66" t="s">
        <v>78</v>
      </c>
      <c r="D66">
        <v>34</v>
      </c>
      <c r="E66">
        <v>0.34899999999999998</v>
      </c>
      <c r="F66">
        <f t="shared" ref="F66:F97" si="8">IF(A66="Mexico City",O66/20,O66)</f>
        <v>605.84</v>
      </c>
      <c r="G66">
        <v>3.07</v>
      </c>
      <c r="H66">
        <v>4.72</v>
      </c>
      <c r="I66" t="s">
        <v>24</v>
      </c>
      <c r="J66" t="s">
        <v>18</v>
      </c>
      <c r="K66" t="s">
        <v>25</v>
      </c>
      <c r="L66">
        <f t="shared" ref="L66:L97" si="9">IF(E66&gt;0.5,5,IF(E66&gt;0.4,4, IF(E66&gt;0.3,3,IF(E66&gt;0.2,2,1))))</f>
        <v>3</v>
      </c>
      <c r="M66">
        <f t="shared" ref="M66:M97" si="10">IF(AND(I66="above average",J66="lag"),5,IF(AND(I66="above average",J66="premium"),3,IF(AND(I66="below average",J66="lag"),2,1)))</f>
        <v>1</v>
      </c>
      <c r="N66" t="str">
        <f t="shared" ref="N66:N97" si="11">IF(K66="opportunity","HIGH",IF(K66="high demand","MEDIUM",IF(K66="overpriced","LOW","PASS")))</f>
        <v>LOW</v>
      </c>
      <c r="O66">
        <v>605.84</v>
      </c>
    </row>
    <row r="67" spans="1:15" x14ac:dyDescent="0.2">
      <c r="A67" t="s">
        <v>76</v>
      </c>
      <c r="B67" t="s">
        <v>137</v>
      </c>
      <c r="C67" t="s">
        <v>78</v>
      </c>
      <c r="D67">
        <v>129</v>
      </c>
      <c r="E67">
        <v>0.34210000000000002</v>
      </c>
      <c r="F67">
        <f t="shared" si="8"/>
        <v>414.11</v>
      </c>
      <c r="G67">
        <v>3.44</v>
      </c>
      <c r="H67">
        <v>4.37</v>
      </c>
      <c r="I67" t="s">
        <v>24</v>
      </c>
      <c r="J67" t="s">
        <v>18</v>
      </c>
      <c r="K67" t="s">
        <v>25</v>
      </c>
      <c r="L67">
        <f t="shared" si="9"/>
        <v>3</v>
      </c>
      <c r="M67">
        <f t="shared" si="10"/>
        <v>1</v>
      </c>
      <c r="N67" t="str">
        <f t="shared" si="11"/>
        <v>LOW</v>
      </c>
      <c r="O67">
        <v>414.11</v>
      </c>
    </row>
    <row r="68" spans="1:15" x14ac:dyDescent="0.2">
      <c r="A68" t="s">
        <v>76</v>
      </c>
      <c r="B68" t="s">
        <v>148</v>
      </c>
      <c r="C68" t="s">
        <v>78</v>
      </c>
      <c r="D68">
        <v>11</v>
      </c>
      <c r="E68">
        <v>0.26800000000000002</v>
      </c>
      <c r="F68">
        <f t="shared" si="8"/>
        <v>610.91</v>
      </c>
      <c r="G68">
        <v>1.52</v>
      </c>
      <c r="H68">
        <v>4.82</v>
      </c>
      <c r="I68" t="s">
        <v>24</v>
      </c>
      <c r="J68" t="s">
        <v>18</v>
      </c>
      <c r="K68" t="s">
        <v>25</v>
      </c>
      <c r="L68">
        <f t="shared" si="9"/>
        <v>2</v>
      </c>
      <c r="M68">
        <f t="shared" si="10"/>
        <v>1</v>
      </c>
      <c r="N68" t="str">
        <f t="shared" si="11"/>
        <v>LOW</v>
      </c>
      <c r="O68">
        <v>610.91</v>
      </c>
    </row>
    <row r="69" spans="1:15" x14ac:dyDescent="0.2">
      <c r="A69" t="s">
        <v>11</v>
      </c>
      <c r="B69" t="s">
        <v>17</v>
      </c>
      <c r="C69" t="s">
        <v>13</v>
      </c>
      <c r="D69">
        <v>10971</v>
      </c>
      <c r="E69">
        <v>0.31459999999999999</v>
      </c>
      <c r="F69">
        <f t="shared" si="8"/>
        <v>125.7885</v>
      </c>
      <c r="G69">
        <v>2.38</v>
      </c>
      <c r="I69" t="s">
        <v>14</v>
      </c>
      <c r="J69" t="s">
        <v>18</v>
      </c>
      <c r="K69" t="s">
        <v>19</v>
      </c>
      <c r="L69">
        <f t="shared" si="9"/>
        <v>3</v>
      </c>
      <c r="M69">
        <f t="shared" si="10"/>
        <v>3</v>
      </c>
      <c r="N69" t="str">
        <f t="shared" si="11"/>
        <v>MEDIUM</v>
      </c>
      <c r="O69">
        <v>2515.77</v>
      </c>
    </row>
    <row r="70" spans="1:15" x14ac:dyDescent="0.2">
      <c r="A70" t="s">
        <v>37</v>
      </c>
      <c r="B70" t="s">
        <v>49</v>
      </c>
      <c r="C70" t="s">
        <v>13</v>
      </c>
      <c r="D70">
        <v>52</v>
      </c>
      <c r="E70">
        <v>0.46489999999999998</v>
      </c>
      <c r="F70">
        <f t="shared" si="8"/>
        <v>370.71</v>
      </c>
      <c r="G70">
        <v>2.2999999999999998</v>
      </c>
      <c r="H70">
        <v>4.92</v>
      </c>
      <c r="I70" t="s">
        <v>14</v>
      </c>
      <c r="J70" t="s">
        <v>18</v>
      </c>
      <c r="K70" t="s">
        <v>19</v>
      </c>
      <c r="L70">
        <f t="shared" si="9"/>
        <v>4</v>
      </c>
      <c r="M70">
        <f t="shared" si="10"/>
        <v>3</v>
      </c>
      <c r="N70" t="str">
        <f t="shared" si="11"/>
        <v>MEDIUM</v>
      </c>
      <c r="O70">
        <v>370.71</v>
      </c>
    </row>
    <row r="71" spans="1:15" x14ac:dyDescent="0.2">
      <c r="A71" t="s">
        <v>37</v>
      </c>
      <c r="B71" t="s">
        <v>50</v>
      </c>
      <c r="C71" t="s">
        <v>13</v>
      </c>
      <c r="D71">
        <v>170</v>
      </c>
      <c r="E71">
        <v>0.4642</v>
      </c>
      <c r="F71">
        <f t="shared" si="8"/>
        <v>417.01</v>
      </c>
      <c r="G71">
        <v>2.06</v>
      </c>
      <c r="H71">
        <v>4.84</v>
      </c>
      <c r="I71" t="s">
        <v>14</v>
      </c>
      <c r="J71" t="s">
        <v>18</v>
      </c>
      <c r="K71" t="s">
        <v>19</v>
      </c>
      <c r="L71">
        <f t="shared" si="9"/>
        <v>4</v>
      </c>
      <c r="M71">
        <f t="shared" si="10"/>
        <v>3</v>
      </c>
      <c r="N71" t="str">
        <f t="shared" si="11"/>
        <v>MEDIUM</v>
      </c>
      <c r="O71">
        <v>417.01</v>
      </c>
    </row>
    <row r="72" spans="1:15" x14ac:dyDescent="0.2">
      <c r="A72" t="s">
        <v>37</v>
      </c>
      <c r="B72" t="s">
        <v>54</v>
      </c>
      <c r="C72" t="s">
        <v>13</v>
      </c>
      <c r="D72">
        <v>46</v>
      </c>
      <c r="E72">
        <v>0.43719999999999998</v>
      </c>
      <c r="F72">
        <f t="shared" si="8"/>
        <v>375.86</v>
      </c>
      <c r="G72">
        <v>2.17</v>
      </c>
      <c r="H72">
        <v>4.9000000000000004</v>
      </c>
      <c r="I72" t="s">
        <v>14</v>
      </c>
      <c r="J72" t="s">
        <v>18</v>
      </c>
      <c r="K72" t="s">
        <v>19</v>
      </c>
      <c r="L72">
        <f t="shared" si="9"/>
        <v>4</v>
      </c>
      <c r="M72">
        <f t="shared" si="10"/>
        <v>3</v>
      </c>
      <c r="N72" t="str">
        <f t="shared" si="11"/>
        <v>MEDIUM</v>
      </c>
      <c r="O72">
        <v>375.86</v>
      </c>
    </row>
    <row r="73" spans="1:15" x14ac:dyDescent="0.2">
      <c r="A73" t="s">
        <v>37</v>
      </c>
      <c r="B73" t="s">
        <v>62</v>
      </c>
      <c r="C73" t="s">
        <v>13</v>
      </c>
      <c r="D73">
        <v>250</v>
      </c>
      <c r="E73">
        <v>0.3775</v>
      </c>
      <c r="F73">
        <f t="shared" si="8"/>
        <v>384.04</v>
      </c>
      <c r="G73">
        <v>2.06</v>
      </c>
      <c r="H73">
        <v>4.8</v>
      </c>
      <c r="I73" t="s">
        <v>14</v>
      </c>
      <c r="J73" t="s">
        <v>18</v>
      </c>
      <c r="K73" t="s">
        <v>19</v>
      </c>
      <c r="L73">
        <f t="shared" si="9"/>
        <v>3</v>
      </c>
      <c r="M73">
        <f t="shared" si="10"/>
        <v>3</v>
      </c>
      <c r="N73" t="str">
        <f t="shared" si="11"/>
        <v>MEDIUM</v>
      </c>
      <c r="O73">
        <v>384.04</v>
      </c>
    </row>
    <row r="74" spans="1:15" x14ac:dyDescent="0.2">
      <c r="A74" t="s">
        <v>37</v>
      </c>
      <c r="B74" t="s">
        <v>64</v>
      </c>
      <c r="C74" t="s">
        <v>13</v>
      </c>
      <c r="D74">
        <v>26</v>
      </c>
      <c r="E74">
        <v>0.37069999999999997</v>
      </c>
      <c r="F74">
        <f t="shared" si="8"/>
        <v>718.56</v>
      </c>
      <c r="G74">
        <v>2.11</v>
      </c>
      <c r="H74">
        <v>4.8899999999999997</v>
      </c>
      <c r="I74" t="s">
        <v>14</v>
      </c>
      <c r="J74" t="s">
        <v>18</v>
      </c>
      <c r="K74" t="s">
        <v>19</v>
      </c>
      <c r="L74">
        <f t="shared" si="9"/>
        <v>3</v>
      </c>
      <c r="M74">
        <f t="shared" si="10"/>
        <v>3</v>
      </c>
      <c r="N74" t="str">
        <f t="shared" si="11"/>
        <v>MEDIUM</v>
      </c>
      <c r="O74">
        <v>718.56</v>
      </c>
    </row>
    <row r="75" spans="1:15" x14ac:dyDescent="0.2">
      <c r="A75" t="s">
        <v>37</v>
      </c>
      <c r="B75" t="s">
        <v>65</v>
      </c>
      <c r="C75" t="s">
        <v>13</v>
      </c>
      <c r="D75">
        <v>184</v>
      </c>
      <c r="E75">
        <v>0.36849999999999999</v>
      </c>
      <c r="F75">
        <f t="shared" si="8"/>
        <v>439.19</v>
      </c>
      <c r="G75">
        <v>2.46</v>
      </c>
      <c r="H75">
        <v>4.8</v>
      </c>
      <c r="I75" t="s">
        <v>14</v>
      </c>
      <c r="J75" t="s">
        <v>18</v>
      </c>
      <c r="K75" t="s">
        <v>19</v>
      </c>
      <c r="L75">
        <f t="shared" si="9"/>
        <v>3</v>
      </c>
      <c r="M75">
        <f t="shared" si="10"/>
        <v>3</v>
      </c>
      <c r="N75" t="str">
        <f t="shared" si="11"/>
        <v>MEDIUM</v>
      </c>
      <c r="O75">
        <v>439.19</v>
      </c>
    </row>
    <row r="76" spans="1:15" x14ac:dyDescent="0.2">
      <c r="A76" t="s">
        <v>37</v>
      </c>
      <c r="B76" t="s">
        <v>66</v>
      </c>
      <c r="C76" t="s">
        <v>13</v>
      </c>
      <c r="D76">
        <v>59</v>
      </c>
      <c r="E76">
        <v>0.36549999999999999</v>
      </c>
      <c r="F76">
        <f t="shared" si="8"/>
        <v>380.07</v>
      </c>
      <c r="G76">
        <v>2.2200000000000002</v>
      </c>
      <c r="H76">
        <v>4.87</v>
      </c>
      <c r="I76" t="s">
        <v>14</v>
      </c>
      <c r="J76" t="s">
        <v>18</v>
      </c>
      <c r="K76" t="s">
        <v>19</v>
      </c>
      <c r="L76">
        <f t="shared" si="9"/>
        <v>3</v>
      </c>
      <c r="M76">
        <f t="shared" si="10"/>
        <v>3</v>
      </c>
      <c r="N76" t="str">
        <f t="shared" si="11"/>
        <v>MEDIUM</v>
      </c>
      <c r="O76">
        <v>380.07</v>
      </c>
    </row>
    <row r="77" spans="1:15" x14ac:dyDescent="0.2">
      <c r="A77" t="s">
        <v>37</v>
      </c>
      <c r="B77" t="s">
        <v>68</v>
      </c>
      <c r="C77" t="s">
        <v>13</v>
      </c>
      <c r="D77">
        <v>330</v>
      </c>
      <c r="E77">
        <v>0.34029999999999999</v>
      </c>
      <c r="F77">
        <f t="shared" si="8"/>
        <v>436.35</v>
      </c>
      <c r="G77">
        <v>2.0299999999999998</v>
      </c>
      <c r="H77">
        <v>4.76</v>
      </c>
      <c r="I77" t="s">
        <v>14</v>
      </c>
      <c r="J77" t="s">
        <v>18</v>
      </c>
      <c r="K77" t="s">
        <v>19</v>
      </c>
      <c r="L77">
        <f t="shared" si="9"/>
        <v>3</v>
      </c>
      <c r="M77">
        <f t="shared" si="10"/>
        <v>3</v>
      </c>
      <c r="N77" t="str">
        <f t="shared" si="11"/>
        <v>MEDIUM</v>
      </c>
      <c r="O77">
        <v>436.35</v>
      </c>
    </row>
    <row r="78" spans="1:15" x14ac:dyDescent="0.2">
      <c r="A78" t="s">
        <v>76</v>
      </c>
      <c r="B78" t="s">
        <v>79</v>
      </c>
      <c r="C78" t="s">
        <v>78</v>
      </c>
      <c r="D78">
        <v>22</v>
      </c>
      <c r="E78">
        <v>0.64610000000000001</v>
      </c>
      <c r="F78">
        <f t="shared" si="8"/>
        <v>585.47</v>
      </c>
      <c r="G78">
        <v>1.57</v>
      </c>
      <c r="H78">
        <v>4.7</v>
      </c>
      <c r="I78" t="s">
        <v>14</v>
      </c>
      <c r="J78" t="s">
        <v>18</v>
      </c>
      <c r="K78" t="s">
        <v>19</v>
      </c>
      <c r="L78">
        <f t="shared" si="9"/>
        <v>5</v>
      </c>
      <c r="M78">
        <f t="shared" si="10"/>
        <v>3</v>
      </c>
      <c r="N78" t="str">
        <f t="shared" si="11"/>
        <v>MEDIUM</v>
      </c>
      <c r="O78">
        <v>585.47</v>
      </c>
    </row>
    <row r="79" spans="1:15" x14ac:dyDescent="0.2">
      <c r="A79" t="s">
        <v>76</v>
      </c>
      <c r="B79" t="s">
        <v>83</v>
      </c>
      <c r="C79" t="s">
        <v>81</v>
      </c>
      <c r="D79">
        <v>13</v>
      </c>
      <c r="E79">
        <v>0.57010000000000005</v>
      </c>
      <c r="F79">
        <f t="shared" si="8"/>
        <v>382.06</v>
      </c>
      <c r="G79">
        <v>3.27</v>
      </c>
      <c r="H79">
        <v>4.95</v>
      </c>
      <c r="I79" t="s">
        <v>14</v>
      </c>
      <c r="J79" t="s">
        <v>18</v>
      </c>
      <c r="K79" t="s">
        <v>19</v>
      </c>
      <c r="L79">
        <f t="shared" si="9"/>
        <v>5</v>
      </c>
      <c r="M79">
        <f t="shared" si="10"/>
        <v>3</v>
      </c>
      <c r="N79" t="str">
        <f t="shared" si="11"/>
        <v>MEDIUM</v>
      </c>
      <c r="O79">
        <v>382.06</v>
      </c>
    </row>
    <row r="80" spans="1:15" x14ac:dyDescent="0.2">
      <c r="A80" t="s">
        <v>76</v>
      </c>
      <c r="B80" t="s">
        <v>87</v>
      </c>
      <c r="C80" t="s">
        <v>78</v>
      </c>
      <c r="D80">
        <v>38</v>
      </c>
      <c r="E80">
        <v>0.56679999999999997</v>
      </c>
      <c r="F80">
        <f t="shared" si="8"/>
        <v>360.52</v>
      </c>
      <c r="G80">
        <v>3.08</v>
      </c>
      <c r="H80">
        <v>4.79</v>
      </c>
      <c r="I80" t="s">
        <v>14</v>
      </c>
      <c r="J80" t="s">
        <v>18</v>
      </c>
      <c r="K80" t="s">
        <v>19</v>
      </c>
      <c r="L80">
        <f t="shared" si="9"/>
        <v>5</v>
      </c>
      <c r="M80">
        <f t="shared" si="10"/>
        <v>3</v>
      </c>
      <c r="N80" t="str">
        <f t="shared" si="11"/>
        <v>MEDIUM</v>
      </c>
      <c r="O80">
        <v>360.52</v>
      </c>
    </row>
    <row r="81" spans="1:15" x14ac:dyDescent="0.2">
      <c r="A81" t="s">
        <v>76</v>
      </c>
      <c r="B81" t="s">
        <v>89</v>
      </c>
      <c r="C81" t="s">
        <v>78</v>
      </c>
      <c r="D81">
        <v>44</v>
      </c>
      <c r="E81">
        <v>0.53849999999999998</v>
      </c>
      <c r="F81">
        <f t="shared" si="8"/>
        <v>613.5</v>
      </c>
      <c r="G81">
        <v>2.58</v>
      </c>
      <c r="H81">
        <v>4.71</v>
      </c>
      <c r="I81" t="s">
        <v>14</v>
      </c>
      <c r="J81" t="s">
        <v>18</v>
      </c>
      <c r="K81" t="s">
        <v>19</v>
      </c>
      <c r="L81">
        <f t="shared" si="9"/>
        <v>5</v>
      </c>
      <c r="M81">
        <f t="shared" si="10"/>
        <v>3</v>
      </c>
      <c r="N81" t="str">
        <f t="shared" si="11"/>
        <v>MEDIUM</v>
      </c>
      <c r="O81">
        <v>613.5</v>
      </c>
    </row>
    <row r="82" spans="1:15" x14ac:dyDescent="0.2">
      <c r="A82" t="s">
        <v>76</v>
      </c>
      <c r="B82" t="s">
        <v>91</v>
      </c>
      <c r="C82" t="s">
        <v>78</v>
      </c>
      <c r="D82">
        <v>25</v>
      </c>
      <c r="E82">
        <v>0.52380000000000004</v>
      </c>
      <c r="F82">
        <f t="shared" si="8"/>
        <v>432.51</v>
      </c>
      <c r="G82">
        <v>1.42</v>
      </c>
      <c r="H82">
        <v>4.7300000000000004</v>
      </c>
      <c r="I82" t="s">
        <v>14</v>
      </c>
      <c r="J82" t="s">
        <v>18</v>
      </c>
      <c r="K82" t="s">
        <v>19</v>
      </c>
      <c r="L82">
        <f t="shared" si="9"/>
        <v>5</v>
      </c>
      <c r="M82">
        <f t="shared" si="10"/>
        <v>3</v>
      </c>
      <c r="N82" t="str">
        <f t="shared" si="11"/>
        <v>MEDIUM</v>
      </c>
      <c r="O82">
        <v>432.51</v>
      </c>
    </row>
    <row r="83" spans="1:15" x14ac:dyDescent="0.2">
      <c r="A83" t="s">
        <v>76</v>
      </c>
      <c r="B83" t="s">
        <v>92</v>
      </c>
      <c r="C83" t="s">
        <v>81</v>
      </c>
      <c r="D83">
        <v>15</v>
      </c>
      <c r="E83">
        <v>0.52159999999999995</v>
      </c>
      <c r="F83">
        <f t="shared" si="8"/>
        <v>369.37</v>
      </c>
      <c r="G83">
        <v>3.94</v>
      </c>
      <c r="H83">
        <v>4.79</v>
      </c>
      <c r="I83" t="s">
        <v>14</v>
      </c>
      <c r="J83" t="s">
        <v>18</v>
      </c>
      <c r="K83" t="s">
        <v>19</v>
      </c>
      <c r="L83">
        <f t="shared" si="9"/>
        <v>5</v>
      </c>
      <c r="M83">
        <f t="shared" si="10"/>
        <v>3</v>
      </c>
      <c r="N83" t="str">
        <f t="shared" si="11"/>
        <v>MEDIUM</v>
      </c>
      <c r="O83">
        <v>369.37</v>
      </c>
    </row>
    <row r="84" spans="1:15" x14ac:dyDescent="0.2">
      <c r="A84" t="s">
        <v>76</v>
      </c>
      <c r="B84" t="s">
        <v>94</v>
      </c>
      <c r="C84" t="s">
        <v>78</v>
      </c>
      <c r="D84">
        <v>22</v>
      </c>
      <c r="E84">
        <v>0.5151</v>
      </c>
      <c r="F84">
        <f t="shared" si="8"/>
        <v>603.16999999999996</v>
      </c>
      <c r="G84">
        <v>3.49</v>
      </c>
      <c r="H84">
        <v>4.67</v>
      </c>
      <c r="I84" t="s">
        <v>14</v>
      </c>
      <c r="J84" t="s">
        <v>18</v>
      </c>
      <c r="K84" t="s">
        <v>19</v>
      </c>
      <c r="L84">
        <f t="shared" si="9"/>
        <v>5</v>
      </c>
      <c r="M84">
        <f t="shared" si="10"/>
        <v>3</v>
      </c>
      <c r="N84" t="str">
        <f t="shared" si="11"/>
        <v>MEDIUM</v>
      </c>
      <c r="O84">
        <v>603.16999999999996</v>
      </c>
    </row>
    <row r="85" spans="1:15" x14ac:dyDescent="0.2">
      <c r="A85" t="s">
        <v>76</v>
      </c>
      <c r="B85" t="s">
        <v>95</v>
      </c>
      <c r="C85" t="s">
        <v>78</v>
      </c>
      <c r="D85">
        <v>61</v>
      </c>
      <c r="E85">
        <v>0.5131</v>
      </c>
      <c r="F85">
        <f t="shared" si="8"/>
        <v>514.30999999999995</v>
      </c>
      <c r="G85">
        <v>2</v>
      </c>
      <c r="H85">
        <v>4.58</v>
      </c>
      <c r="I85" t="s">
        <v>14</v>
      </c>
      <c r="J85" t="s">
        <v>18</v>
      </c>
      <c r="K85" t="s">
        <v>19</v>
      </c>
      <c r="L85">
        <f t="shared" si="9"/>
        <v>5</v>
      </c>
      <c r="M85">
        <f t="shared" si="10"/>
        <v>3</v>
      </c>
      <c r="N85" t="str">
        <f t="shared" si="11"/>
        <v>MEDIUM</v>
      </c>
      <c r="O85">
        <v>514.30999999999995</v>
      </c>
    </row>
    <row r="86" spans="1:15" x14ac:dyDescent="0.2">
      <c r="A86" t="s">
        <v>76</v>
      </c>
      <c r="B86" t="s">
        <v>96</v>
      </c>
      <c r="C86" t="s">
        <v>81</v>
      </c>
      <c r="D86">
        <v>56</v>
      </c>
      <c r="E86">
        <v>0.49199999999999999</v>
      </c>
      <c r="F86">
        <f t="shared" si="8"/>
        <v>396.03</v>
      </c>
      <c r="G86">
        <v>1.1499999999999999</v>
      </c>
      <c r="H86">
        <v>4.83</v>
      </c>
      <c r="I86" t="s">
        <v>14</v>
      </c>
      <c r="J86" t="s">
        <v>18</v>
      </c>
      <c r="K86" t="s">
        <v>19</v>
      </c>
      <c r="L86">
        <f t="shared" si="9"/>
        <v>4</v>
      </c>
      <c r="M86">
        <f t="shared" si="10"/>
        <v>3</v>
      </c>
      <c r="N86" t="str">
        <f t="shared" si="11"/>
        <v>MEDIUM</v>
      </c>
      <c r="O86">
        <v>396.03</v>
      </c>
    </row>
    <row r="87" spans="1:15" x14ac:dyDescent="0.2">
      <c r="A87" t="s">
        <v>76</v>
      </c>
      <c r="B87" t="s">
        <v>104</v>
      </c>
      <c r="C87" t="s">
        <v>78</v>
      </c>
      <c r="D87">
        <v>20</v>
      </c>
      <c r="E87">
        <v>0.47149999999999997</v>
      </c>
      <c r="F87">
        <f t="shared" si="8"/>
        <v>352.41</v>
      </c>
      <c r="G87">
        <v>3.02</v>
      </c>
      <c r="H87">
        <v>4.63</v>
      </c>
      <c r="I87" t="s">
        <v>14</v>
      </c>
      <c r="J87" t="s">
        <v>18</v>
      </c>
      <c r="K87" t="s">
        <v>19</v>
      </c>
      <c r="L87">
        <f t="shared" si="9"/>
        <v>4</v>
      </c>
      <c r="M87">
        <f t="shared" si="10"/>
        <v>3</v>
      </c>
      <c r="N87" t="str">
        <f t="shared" si="11"/>
        <v>MEDIUM</v>
      </c>
      <c r="O87">
        <v>352.41</v>
      </c>
    </row>
    <row r="88" spans="1:15" x14ac:dyDescent="0.2">
      <c r="A88" t="s">
        <v>76</v>
      </c>
      <c r="B88" t="s">
        <v>107</v>
      </c>
      <c r="C88" t="s">
        <v>78</v>
      </c>
      <c r="D88">
        <v>85</v>
      </c>
      <c r="E88">
        <v>0.46560000000000001</v>
      </c>
      <c r="F88">
        <f t="shared" si="8"/>
        <v>549.72</v>
      </c>
      <c r="G88">
        <v>1.92</v>
      </c>
      <c r="H88">
        <v>4.6500000000000004</v>
      </c>
      <c r="I88" t="s">
        <v>14</v>
      </c>
      <c r="J88" t="s">
        <v>18</v>
      </c>
      <c r="K88" t="s">
        <v>19</v>
      </c>
      <c r="L88">
        <f t="shared" si="9"/>
        <v>4</v>
      </c>
      <c r="M88">
        <f t="shared" si="10"/>
        <v>3</v>
      </c>
      <c r="N88" t="str">
        <f t="shared" si="11"/>
        <v>MEDIUM</v>
      </c>
      <c r="O88">
        <v>549.72</v>
      </c>
    </row>
    <row r="89" spans="1:15" x14ac:dyDescent="0.2">
      <c r="A89" t="s">
        <v>76</v>
      </c>
      <c r="B89" t="s">
        <v>108</v>
      </c>
      <c r="C89" t="s">
        <v>81</v>
      </c>
      <c r="D89">
        <v>137</v>
      </c>
      <c r="E89">
        <v>0.45669999999999999</v>
      </c>
      <c r="F89">
        <f t="shared" si="8"/>
        <v>365.89</v>
      </c>
      <c r="G89">
        <v>2.37</v>
      </c>
      <c r="H89">
        <v>4.82</v>
      </c>
      <c r="I89" t="s">
        <v>14</v>
      </c>
      <c r="J89" t="s">
        <v>18</v>
      </c>
      <c r="K89" t="s">
        <v>19</v>
      </c>
      <c r="L89">
        <f t="shared" si="9"/>
        <v>4</v>
      </c>
      <c r="M89">
        <f t="shared" si="10"/>
        <v>3</v>
      </c>
      <c r="N89" t="str">
        <f t="shared" si="11"/>
        <v>MEDIUM</v>
      </c>
      <c r="O89">
        <v>365.89</v>
      </c>
    </row>
    <row r="90" spans="1:15" x14ac:dyDescent="0.2">
      <c r="A90" t="s">
        <v>76</v>
      </c>
      <c r="B90" t="s">
        <v>112</v>
      </c>
      <c r="C90" t="s">
        <v>78</v>
      </c>
      <c r="D90">
        <v>97</v>
      </c>
      <c r="E90">
        <v>0.43120000000000003</v>
      </c>
      <c r="F90">
        <f t="shared" si="8"/>
        <v>486.68</v>
      </c>
      <c r="G90">
        <v>2.86</v>
      </c>
      <c r="H90">
        <v>4.6900000000000004</v>
      </c>
      <c r="I90" t="s">
        <v>14</v>
      </c>
      <c r="J90" t="s">
        <v>18</v>
      </c>
      <c r="K90" t="s">
        <v>19</v>
      </c>
      <c r="L90">
        <f t="shared" si="9"/>
        <v>4</v>
      </c>
      <c r="M90">
        <f t="shared" si="10"/>
        <v>3</v>
      </c>
      <c r="N90" t="str">
        <f t="shared" si="11"/>
        <v>MEDIUM</v>
      </c>
      <c r="O90">
        <v>486.68</v>
      </c>
    </row>
    <row r="91" spans="1:15" x14ac:dyDescent="0.2">
      <c r="A91" t="s">
        <v>76</v>
      </c>
      <c r="B91" t="s">
        <v>114</v>
      </c>
      <c r="C91" t="s">
        <v>85</v>
      </c>
      <c r="D91">
        <v>55</v>
      </c>
      <c r="E91">
        <v>0.42820000000000003</v>
      </c>
      <c r="F91">
        <f t="shared" si="8"/>
        <v>759.8</v>
      </c>
      <c r="G91">
        <v>3.11</v>
      </c>
      <c r="H91">
        <v>4.67</v>
      </c>
      <c r="I91" t="s">
        <v>14</v>
      </c>
      <c r="J91" t="s">
        <v>18</v>
      </c>
      <c r="K91" t="s">
        <v>19</v>
      </c>
      <c r="L91">
        <f t="shared" si="9"/>
        <v>4</v>
      </c>
      <c r="M91">
        <f t="shared" si="10"/>
        <v>3</v>
      </c>
      <c r="N91" t="str">
        <f t="shared" si="11"/>
        <v>MEDIUM</v>
      </c>
      <c r="O91">
        <v>759.8</v>
      </c>
    </row>
    <row r="92" spans="1:15" x14ac:dyDescent="0.2">
      <c r="A92" t="s">
        <v>76</v>
      </c>
      <c r="B92" t="s">
        <v>115</v>
      </c>
      <c r="C92" t="s">
        <v>78</v>
      </c>
      <c r="D92">
        <v>197</v>
      </c>
      <c r="E92">
        <v>0.4249</v>
      </c>
      <c r="F92">
        <f t="shared" si="8"/>
        <v>411.62</v>
      </c>
      <c r="G92">
        <v>2.0699999999999998</v>
      </c>
      <c r="H92">
        <v>4.8</v>
      </c>
      <c r="I92" t="s">
        <v>14</v>
      </c>
      <c r="J92" t="s">
        <v>18</v>
      </c>
      <c r="K92" t="s">
        <v>19</v>
      </c>
      <c r="L92">
        <f t="shared" si="9"/>
        <v>4</v>
      </c>
      <c r="M92">
        <f t="shared" si="10"/>
        <v>3</v>
      </c>
      <c r="N92" t="str">
        <f t="shared" si="11"/>
        <v>MEDIUM</v>
      </c>
      <c r="O92">
        <v>411.62</v>
      </c>
    </row>
    <row r="93" spans="1:15" x14ac:dyDescent="0.2">
      <c r="A93" t="s">
        <v>11</v>
      </c>
      <c r="B93" t="s">
        <v>26</v>
      </c>
      <c r="C93" t="s">
        <v>13</v>
      </c>
      <c r="D93">
        <v>102</v>
      </c>
      <c r="E93">
        <v>0.2787</v>
      </c>
      <c r="F93">
        <f t="shared" si="8"/>
        <v>106.86449999999999</v>
      </c>
      <c r="G93">
        <v>0.77</v>
      </c>
      <c r="I93" t="s">
        <v>24</v>
      </c>
      <c r="J93" t="s">
        <v>15</v>
      </c>
      <c r="K93" t="s">
        <v>27</v>
      </c>
      <c r="L93">
        <f t="shared" si="9"/>
        <v>2</v>
      </c>
      <c r="M93">
        <f t="shared" si="10"/>
        <v>2</v>
      </c>
      <c r="N93" t="str">
        <f t="shared" si="11"/>
        <v>PASS</v>
      </c>
      <c r="O93">
        <v>2137.29</v>
      </c>
    </row>
    <row r="94" spans="1:15" x14ac:dyDescent="0.2">
      <c r="A94" t="s">
        <v>11</v>
      </c>
      <c r="B94" t="s">
        <v>29</v>
      </c>
      <c r="C94" t="s">
        <v>13</v>
      </c>
      <c r="D94">
        <v>440</v>
      </c>
      <c r="E94">
        <v>0.25509999999999999</v>
      </c>
      <c r="F94">
        <f t="shared" si="8"/>
        <v>56.759</v>
      </c>
      <c r="G94">
        <v>1.93</v>
      </c>
      <c r="I94" t="s">
        <v>24</v>
      </c>
      <c r="J94" t="s">
        <v>15</v>
      </c>
      <c r="K94" t="s">
        <v>27</v>
      </c>
      <c r="L94">
        <f t="shared" si="9"/>
        <v>2</v>
      </c>
      <c r="M94">
        <f t="shared" si="10"/>
        <v>2</v>
      </c>
      <c r="N94" t="str">
        <f t="shared" si="11"/>
        <v>PASS</v>
      </c>
      <c r="O94">
        <v>1135.18</v>
      </c>
    </row>
    <row r="95" spans="1:15" x14ac:dyDescent="0.2">
      <c r="A95" t="s">
        <v>11</v>
      </c>
      <c r="B95" t="s">
        <v>30</v>
      </c>
      <c r="C95" t="s">
        <v>13</v>
      </c>
      <c r="D95">
        <v>689</v>
      </c>
      <c r="E95">
        <v>0.25280000000000002</v>
      </c>
      <c r="F95">
        <f t="shared" si="8"/>
        <v>92.825999999999993</v>
      </c>
      <c r="G95">
        <v>1.26</v>
      </c>
      <c r="I95" t="s">
        <v>24</v>
      </c>
      <c r="J95" t="s">
        <v>15</v>
      </c>
      <c r="K95" t="s">
        <v>27</v>
      </c>
      <c r="L95">
        <f t="shared" si="9"/>
        <v>2</v>
      </c>
      <c r="M95">
        <f t="shared" si="10"/>
        <v>2</v>
      </c>
      <c r="N95" t="str">
        <f t="shared" si="11"/>
        <v>PASS</v>
      </c>
      <c r="O95">
        <v>1856.52</v>
      </c>
    </row>
    <row r="96" spans="1:15" x14ac:dyDescent="0.2">
      <c r="A96" t="s">
        <v>11</v>
      </c>
      <c r="B96" t="s">
        <v>32</v>
      </c>
      <c r="C96" t="s">
        <v>13</v>
      </c>
      <c r="D96">
        <v>353</v>
      </c>
      <c r="E96">
        <v>0.22789999999999999</v>
      </c>
      <c r="F96">
        <f t="shared" si="8"/>
        <v>56.855499999999992</v>
      </c>
      <c r="G96">
        <v>2.2999999999999998</v>
      </c>
      <c r="I96" t="s">
        <v>24</v>
      </c>
      <c r="J96" t="s">
        <v>15</v>
      </c>
      <c r="K96" t="s">
        <v>27</v>
      </c>
      <c r="L96">
        <f t="shared" si="9"/>
        <v>2</v>
      </c>
      <c r="M96">
        <f t="shared" si="10"/>
        <v>2</v>
      </c>
      <c r="N96" t="str">
        <f t="shared" si="11"/>
        <v>PASS</v>
      </c>
      <c r="O96">
        <v>1137.1099999999999</v>
      </c>
    </row>
    <row r="97" spans="1:15" x14ac:dyDescent="0.2">
      <c r="A97" t="s">
        <v>11</v>
      </c>
      <c r="B97" t="s">
        <v>33</v>
      </c>
      <c r="C97" t="s">
        <v>13</v>
      </c>
      <c r="D97">
        <v>262</v>
      </c>
      <c r="E97">
        <v>0.18920000000000001</v>
      </c>
      <c r="F97">
        <f t="shared" si="8"/>
        <v>59.544500000000006</v>
      </c>
      <c r="G97">
        <v>1.78</v>
      </c>
      <c r="I97" t="s">
        <v>24</v>
      </c>
      <c r="J97" t="s">
        <v>15</v>
      </c>
      <c r="K97" t="s">
        <v>27</v>
      </c>
      <c r="L97">
        <f t="shared" si="9"/>
        <v>1</v>
      </c>
      <c r="M97">
        <f t="shared" si="10"/>
        <v>2</v>
      </c>
      <c r="N97" t="str">
        <f t="shared" si="11"/>
        <v>PASS</v>
      </c>
      <c r="O97">
        <v>1190.8900000000001</v>
      </c>
    </row>
    <row r="98" spans="1:15" x14ac:dyDescent="0.2">
      <c r="A98" t="s">
        <v>11</v>
      </c>
      <c r="B98" t="s">
        <v>34</v>
      </c>
      <c r="C98" t="s">
        <v>13</v>
      </c>
      <c r="D98">
        <v>28</v>
      </c>
      <c r="E98">
        <v>0.1726</v>
      </c>
      <c r="F98">
        <f t="shared" ref="F98:F130" si="12">IF(A98="Mexico City",O98/20,O98)</f>
        <v>40.244500000000002</v>
      </c>
      <c r="G98">
        <v>0.87</v>
      </c>
      <c r="I98" t="s">
        <v>24</v>
      </c>
      <c r="J98" t="s">
        <v>15</v>
      </c>
      <c r="K98" t="s">
        <v>27</v>
      </c>
      <c r="L98">
        <f t="shared" ref="L98:L130" si="13">IF(E98&gt;0.5,5,IF(E98&gt;0.4,4, IF(E98&gt;0.3,3,IF(E98&gt;0.2,2,1))))</f>
        <v>1</v>
      </c>
      <c r="M98">
        <f t="shared" ref="M98:M130" si="14">IF(AND(I98="above average",J98="lag"),5,IF(AND(I98="above average",J98="premium"),3,IF(AND(I98="below average",J98="lag"),2,1)))</f>
        <v>2</v>
      </c>
      <c r="N98" t="str">
        <f t="shared" ref="N98:N130" si="15">IF(K98="opportunity","HIGH",IF(K98="high demand","MEDIUM",IF(K98="overpriced","LOW","PASS")))</f>
        <v>PASS</v>
      </c>
      <c r="O98">
        <v>804.89</v>
      </c>
    </row>
    <row r="99" spans="1:15" x14ac:dyDescent="0.2">
      <c r="A99" t="s">
        <v>11</v>
      </c>
      <c r="B99" t="s">
        <v>35</v>
      </c>
      <c r="C99" t="s">
        <v>13</v>
      </c>
      <c r="D99">
        <v>111</v>
      </c>
      <c r="E99">
        <v>0.17150000000000001</v>
      </c>
      <c r="F99">
        <f t="shared" si="12"/>
        <v>94.525499999999994</v>
      </c>
      <c r="G99">
        <v>1.07</v>
      </c>
      <c r="I99" t="s">
        <v>24</v>
      </c>
      <c r="J99" t="s">
        <v>15</v>
      </c>
      <c r="K99" t="s">
        <v>27</v>
      </c>
      <c r="L99">
        <f t="shared" si="13"/>
        <v>1</v>
      </c>
      <c r="M99">
        <f t="shared" si="14"/>
        <v>2</v>
      </c>
      <c r="N99" t="str">
        <f t="shared" si="15"/>
        <v>PASS</v>
      </c>
      <c r="O99">
        <v>1890.51</v>
      </c>
    </row>
    <row r="100" spans="1:15" x14ac:dyDescent="0.2">
      <c r="A100" t="s">
        <v>11</v>
      </c>
      <c r="B100" t="s">
        <v>36</v>
      </c>
      <c r="C100" t="s">
        <v>13</v>
      </c>
      <c r="D100">
        <v>21</v>
      </c>
      <c r="E100">
        <v>8.1699999999999995E-2</v>
      </c>
      <c r="F100">
        <f t="shared" si="12"/>
        <v>76.954999999999998</v>
      </c>
      <c r="G100">
        <v>0.68</v>
      </c>
      <c r="I100" t="s">
        <v>24</v>
      </c>
      <c r="J100" t="s">
        <v>15</v>
      </c>
      <c r="K100" t="s">
        <v>27</v>
      </c>
      <c r="L100">
        <f t="shared" si="13"/>
        <v>1</v>
      </c>
      <c r="M100">
        <f t="shared" si="14"/>
        <v>2</v>
      </c>
      <c r="N100" t="str">
        <f t="shared" si="15"/>
        <v>PASS</v>
      </c>
      <c r="O100">
        <v>1539.1</v>
      </c>
    </row>
    <row r="101" spans="1:15" x14ac:dyDescent="0.2">
      <c r="A101" t="s">
        <v>37</v>
      </c>
      <c r="B101" t="s">
        <v>69</v>
      </c>
      <c r="C101" t="s">
        <v>13</v>
      </c>
      <c r="D101">
        <v>227</v>
      </c>
      <c r="E101">
        <v>0.30230000000000001</v>
      </c>
      <c r="F101">
        <f t="shared" si="12"/>
        <v>282.63</v>
      </c>
      <c r="G101">
        <v>2.36</v>
      </c>
      <c r="H101">
        <v>4.7699999999999996</v>
      </c>
      <c r="I101" t="s">
        <v>24</v>
      </c>
      <c r="J101" t="s">
        <v>15</v>
      </c>
      <c r="K101" t="s">
        <v>27</v>
      </c>
      <c r="L101">
        <f t="shared" si="13"/>
        <v>3</v>
      </c>
      <c r="M101">
        <f t="shared" si="14"/>
        <v>2</v>
      </c>
      <c r="N101" t="str">
        <f t="shared" si="15"/>
        <v>PASS</v>
      </c>
      <c r="O101">
        <v>282.63</v>
      </c>
    </row>
    <row r="102" spans="1:15" x14ac:dyDescent="0.2">
      <c r="A102" t="s">
        <v>37</v>
      </c>
      <c r="B102" t="s">
        <v>71</v>
      </c>
      <c r="C102" t="s">
        <v>13</v>
      </c>
      <c r="D102">
        <v>125</v>
      </c>
      <c r="E102">
        <v>0.28539999999999999</v>
      </c>
      <c r="F102">
        <f t="shared" si="12"/>
        <v>293.99</v>
      </c>
      <c r="G102">
        <v>3.44</v>
      </c>
      <c r="H102">
        <v>4.74</v>
      </c>
      <c r="I102" t="s">
        <v>24</v>
      </c>
      <c r="J102" t="s">
        <v>15</v>
      </c>
      <c r="K102" t="s">
        <v>27</v>
      </c>
      <c r="L102">
        <f t="shared" si="13"/>
        <v>2</v>
      </c>
      <c r="M102">
        <f t="shared" si="14"/>
        <v>2</v>
      </c>
      <c r="N102" t="str">
        <f t="shared" si="15"/>
        <v>PASS</v>
      </c>
      <c r="O102">
        <v>293.99</v>
      </c>
    </row>
    <row r="103" spans="1:15" x14ac:dyDescent="0.2">
      <c r="A103" t="s">
        <v>37</v>
      </c>
      <c r="B103" t="s">
        <v>72</v>
      </c>
      <c r="C103" t="s">
        <v>13</v>
      </c>
      <c r="D103">
        <v>187</v>
      </c>
      <c r="E103">
        <v>0.2707</v>
      </c>
      <c r="F103">
        <f t="shared" si="12"/>
        <v>306.26</v>
      </c>
      <c r="G103">
        <v>1.58</v>
      </c>
      <c r="H103">
        <v>4.66</v>
      </c>
      <c r="I103" t="s">
        <v>24</v>
      </c>
      <c r="J103" t="s">
        <v>15</v>
      </c>
      <c r="K103" t="s">
        <v>27</v>
      </c>
      <c r="L103">
        <f t="shared" si="13"/>
        <v>2</v>
      </c>
      <c r="M103">
        <f t="shared" si="14"/>
        <v>2</v>
      </c>
      <c r="N103" t="str">
        <f t="shared" si="15"/>
        <v>PASS</v>
      </c>
      <c r="O103">
        <v>306.26</v>
      </c>
    </row>
    <row r="104" spans="1:15" x14ac:dyDescent="0.2">
      <c r="A104" t="s">
        <v>76</v>
      </c>
      <c r="B104" t="s">
        <v>123</v>
      </c>
      <c r="C104" t="s">
        <v>85</v>
      </c>
      <c r="D104">
        <v>59</v>
      </c>
      <c r="E104">
        <v>0.40910000000000002</v>
      </c>
      <c r="F104">
        <f t="shared" si="12"/>
        <v>152.99</v>
      </c>
      <c r="G104">
        <v>2.77</v>
      </c>
      <c r="H104">
        <v>4.74</v>
      </c>
      <c r="I104" t="s">
        <v>24</v>
      </c>
      <c r="J104" t="s">
        <v>15</v>
      </c>
      <c r="K104" t="s">
        <v>27</v>
      </c>
      <c r="L104">
        <f t="shared" si="13"/>
        <v>4</v>
      </c>
      <c r="M104">
        <f t="shared" si="14"/>
        <v>2</v>
      </c>
      <c r="N104" t="str">
        <f t="shared" si="15"/>
        <v>PASS</v>
      </c>
      <c r="O104">
        <v>152.99</v>
      </c>
    </row>
    <row r="105" spans="1:15" x14ac:dyDescent="0.2">
      <c r="A105" t="s">
        <v>76</v>
      </c>
      <c r="B105" t="s">
        <v>126</v>
      </c>
      <c r="C105" t="s">
        <v>81</v>
      </c>
      <c r="D105">
        <v>61</v>
      </c>
      <c r="E105">
        <v>0.3947</v>
      </c>
      <c r="F105">
        <f t="shared" si="12"/>
        <v>252.62</v>
      </c>
      <c r="G105">
        <v>2.89</v>
      </c>
      <c r="H105">
        <v>4.8</v>
      </c>
      <c r="I105" t="s">
        <v>24</v>
      </c>
      <c r="J105" t="s">
        <v>15</v>
      </c>
      <c r="K105" t="s">
        <v>27</v>
      </c>
      <c r="L105">
        <f t="shared" si="13"/>
        <v>3</v>
      </c>
      <c r="M105">
        <f t="shared" si="14"/>
        <v>2</v>
      </c>
      <c r="N105" t="str">
        <f t="shared" si="15"/>
        <v>PASS</v>
      </c>
      <c r="O105">
        <v>252.62</v>
      </c>
    </row>
    <row r="106" spans="1:15" x14ac:dyDescent="0.2">
      <c r="A106" t="s">
        <v>76</v>
      </c>
      <c r="B106" t="s">
        <v>127</v>
      </c>
      <c r="C106" t="s">
        <v>85</v>
      </c>
      <c r="D106">
        <v>25</v>
      </c>
      <c r="E106">
        <v>0.3916</v>
      </c>
      <c r="F106">
        <f t="shared" si="12"/>
        <v>216.29</v>
      </c>
      <c r="G106">
        <v>2.13</v>
      </c>
      <c r="H106">
        <v>4.91</v>
      </c>
      <c r="I106" t="s">
        <v>24</v>
      </c>
      <c r="J106" t="s">
        <v>15</v>
      </c>
      <c r="K106" t="s">
        <v>27</v>
      </c>
      <c r="L106">
        <f t="shared" si="13"/>
        <v>3</v>
      </c>
      <c r="M106">
        <f t="shared" si="14"/>
        <v>2</v>
      </c>
      <c r="N106" t="str">
        <f t="shared" si="15"/>
        <v>PASS</v>
      </c>
      <c r="O106">
        <v>216.29</v>
      </c>
    </row>
    <row r="107" spans="1:15" x14ac:dyDescent="0.2">
      <c r="A107" t="s">
        <v>76</v>
      </c>
      <c r="B107" t="s">
        <v>128</v>
      </c>
      <c r="C107" t="s">
        <v>85</v>
      </c>
      <c r="D107">
        <v>12</v>
      </c>
      <c r="E107">
        <v>0.39129999999999998</v>
      </c>
      <c r="F107">
        <f t="shared" si="12"/>
        <v>177.21</v>
      </c>
      <c r="G107">
        <v>3.74</v>
      </c>
      <c r="H107">
        <v>4.92</v>
      </c>
      <c r="I107" t="s">
        <v>24</v>
      </c>
      <c r="J107" t="s">
        <v>15</v>
      </c>
      <c r="K107" t="s">
        <v>27</v>
      </c>
      <c r="L107">
        <f t="shared" si="13"/>
        <v>3</v>
      </c>
      <c r="M107">
        <f t="shared" si="14"/>
        <v>2</v>
      </c>
      <c r="N107" t="str">
        <f t="shared" si="15"/>
        <v>PASS</v>
      </c>
      <c r="O107">
        <v>177.21</v>
      </c>
    </row>
    <row r="108" spans="1:15" x14ac:dyDescent="0.2">
      <c r="A108" t="s">
        <v>76</v>
      </c>
      <c r="B108" t="s">
        <v>129</v>
      </c>
      <c r="C108" t="s">
        <v>85</v>
      </c>
      <c r="D108">
        <v>52</v>
      </c>
      <c r="E108">
        <v>0.39040000000000002</v>
      </c>
      <c r="F108">
        <f t="shared" si="12"/>
        <v>286.44</v>
      </c>
      <c r="G108">
        <v>2.95</v>
      </c>
      <c r="H108">
        <v>4.8</v>
      </c>
      <c r="I108" t="s">
        <v>24</v>
      </c>
      <c r="J108" t="s">
        <v>15</v>
      </c>
      <c r="K108" t="s">
        <v>27</v>
      </c>
      <c r="L108">
        <f t="shared" si="13"/>
        <v>3</v>
      </c>
      <c r="M108">
        <f t="shared" si="14"/>
        <v>2</v>
      </c>
      <c r="N108" t="str">
        <f t="shared" si="15"/>
        <v>PASS</v>
      </c>
      <c r="O108">
        <v>286.44</v>
      </c>
    </row>
    <row r="109" spans="1:15" x14ac:dyDescent="0.2">
      <c r="A109" t="s">
        <v>76</v>
      </c>
      <c r="B109" t="s">
        <v>130</v>
      </c>
      <c r="C109" t="s">
        <v>81</v>
      </c>
      <c r="D109">
        <v>25</v>
      </c>
      <c r="E109">
        <v>0.38929999999999998</v>
      </c>
      <c r="F109">
        <f t="shared" si="12"/>
        <v>288.38</v>
      </c>
      <c r="G109">
        <v>2.4</v>
      </c>
      <c r="H109">
        <v>4.8</v>
      </c>
      <c r="I109" t="s">
        <v>24</v>
      </c>
      <c r="J109" t="s">
        <v>15</v>
      </c>
      <c r="K109" t="s">
        <v>27</v>
      </c>
      <c r="L109">
        <f t="shared" si="13"/>
        <v>3</v>
      </c>
      <c r="M109">
        <f t="shared" si="14"/>
        <v>2</v>
      </c>
      <c r="N109" t="str">
        <f t="shared" si="15"/>
        <v>PASS</v>
      </c>
      <c r="O109">
        <v>288.38</v>
      </c>
    </row>
    <row r="110" spans="1:15" x14ac:dyDescent="0.2">
      <c r="A110" t="s">
        <v>76</v>
      </c>
      <c r="B110" t="s">
        <v>131</v>
      </c>
      <c r="C110" t="s">
        <v>85</v>
      </c>
      <c r="D110">
        <v>13</v>
      </c>
      <c r="E110">
        <v>0.38379999999999997</v>
      </c>
      <c r="F110">
        <f t="shared" si="12"/>
        <v>140.47</v>
      </c>
      <c r="G110">
        <v>2.75</v>
      </c>
      <c r="H110">
        <v>4.88</v>
      </c>
      <c r="I110" t="s">
        <v>24</v>
      </c>
      <c r="J110" t="s">
        <v>15</v>
      </c>
      <c r="K110" t="s">
        <v>27</v>
      </c>
      <c r="L110">
        <f t="shared" si="13"/>
        <v>3</v>
      </c>
      <c r="M110">
        <f t="shared" si="14"/>
        <v>2</v>
      </c>
      <c r="N110" t="str">
        <f t="shared" si="15"/>
        <v>PASS</v>
      </c>
      <c r="O110">
        <v>140.47</v>
      </c>
    </row>
    <row r="111" spans="1:15" x14ac:dyDescent="0.2">
      <c r="A111" t="s">
        <v>76</v>
      </c>
      <c r="B111" t="s">
        <v>133</v>
      </c>
      <c r="C111" t="s">
        <v>81</v>
      </c>
      <c r="D111">
        <v>94</v>
      </c>
      <c r="E111">
        <v>0.376</v>
      </c>
      <c r="F111">
        <f t="shared" si="12"/>
        <v>271.08</v>
      </c>
      <c r="G111">
        <v>2.2200000000000002</v>
      </c>
      <c r="H111">
        <v>4.8600000000000003</v>
      </c>
      <c r="I111" t="s">
        <v>24</v>
      </c>
      <c r="J111" t="s">
        <v>15</v>
      </c>
      <c r="K111" t="s">
        <v>27</v>
      </c>
      <c r="L111">
        <f t="shared" si="13"/>
        <v>3</v>
      </c>
      <c r="M111">
        <f t="shared" si="14"/>
        <v>2</v>
      </c>
      <c r="N111" t="str">
        <f t="shared" si="15"/>
        <v>PASS</v>
      </c>
      <c r="O111">
        <v>271.08</v>
      </c>
    </row>
    <row r="112" spans="1:15" x14ac:dyDescent="0.2">
      <c r="A112" t="s">
        <v>76</v>
      </c>
      <c r="B112" t="s">
        <v>134</v>
      </c>
      <c r="C112" t="s">
        <v>85</v>
      </c>
      <c r="D112">
        <v>41</v>
      </c>
      <c r="E112">
        <v>0.37409999999999999</v>
      </c>
      <c r="F112">
        <f t="shared" si="12"/>
        <v>187.41</v>
      </c>
      <c r="G112">
        <v>3.13</v>
      </c>
      <c r="H112">
        <v>4.72</v>
      </c>
      <c r="I112" t="s">
        <v>24</v>
      </c>
      <c r="J112" t="s">
        <v>15</v>
      </c>
      <c r="K112" t="s">
        <v>27</v>
      </c>
      <c r="L112">
        <f t="shared" si="13"/>
        <v>3</v>
      </c>
      <c r="M112">
        <f t="shared" si="14"/>
        <v>2</v>
      </c>
      <c r="N112" t="str">
        <f t="shared" si="15"/>
        <v>PASS</v>
      </c>
      <c r="O112">
        <v>187.41</v>
      </c>
    </row>
    <row r="113" spans="1:15" x14ac:dyDescent="0.2">
      <c r="A113" t="s">
        <v>76</v>
      </c>
      <c r="B113" t="s">
        <v>135</v>
      </c>
      <c r="C113" t="s">
        <v>85</v>
      </c>
      <c r="D113">
        <v>14</v>
      </c>
      <c r="E113">
        <v>0.36730000000000002</v>
      </c>
      <c r="F113">
        <f t="shared" si="12"/>
        <v>244.44</v>
      </c>
      <c r="G113">
        <v>2.92</v>
      </c>
      <c r="H113">
        <v>4.74</v>
      </c>
      <c r="I113" t="s">
        <v>24</v>
      </c>
      <c r="J113" t="s">
        <v>15</v>
      </c>
      <c r="K113" t="s">
        <v>27</v>
      </c>
      <c r="L113">
        <f t="shared" si="13"/>
        <v>3</v>
      </c>
      <c r="M113">
        <f t="shared" si="14"/>
        <v>2</v>
      </c>
      <c r="N113" t="str">
        <f t="shared" si="15"/>
        <v>PASS</v>
      </c>
      <c r="O113">
        <v>244.44</v>
      </c>
    </row>
    <row r="114" spans="1:15" x14ac:dyDescent="0.2">
      <c r="A114" t="s">
        <v>76</v>
      </c>
      <c r="B114" t="s">
        <v>138</v>
      </c>
      <c r="C114" t="s">
        <v>85</v>
      </c>
      <c r="D114">
        <v>57</v>
      </c>
      <c r="E114">
        <v>0.33679999999999999</v>
      </c>
      <c r="F114">
        <f t="shared" si="12"/>
        <v>188.98</v>
      </c>
      <c r="G114">
        <v>3.39</v>
      </c>
      <c r="H114">
        <v>4.79</v>
      </c>
      <c r="I114" t="s">
        <v>24</v>
      </c>
      <c r="J114" t="s">
        <v>15</v>
      </c>
      <c r="K114" t="s">
        <v>27</v>
      </c>
      <c r="L114">
        <f t="shared" si="13"/>
        <v>3</v>
      </c>
      <c r="M114">
        <f t="shared" si="14"/>
        <v>2</v>
      </c>
      <c r="N114" t="str">
        <f t="shared" si="15"/>
        <v>PASS</v>
      </c>
      <c r="O114">
        <v>188.98</v>
      </c>
    </row>
    <row r="115" spans="1:15" x14ac:dyDescent="0.2">
      <c r="A115" t="s">
        <v>76</v>
      </c>
      <c r="B115" t="s">
        <v>139</v>
      </c>
      <c r="C115" t="s">
        <v>85</v>
      </c>
      <c r="D115">
        <v>19</v>
      </c>
      <c r="E115">
        <v>0.32700000000000001</v>
      </c>
      <c r="F115">
        <f t="shared" si="12"/>
        <v>159.22</v>
      </c>
      <c r="G115">
        <v>2.79</v>
      </c>
      <c r="H115">
        <v>4.8099999999999996</v>
      </c>
      <c r="I115" t="s">
        <v>24</v>
      </c>
      <c r="J115" t="s">
        <v>15</v>
      </c>
      <c r="K115" t="s">
        <v>27</v>
      </c>
      <c r="L115">
        <f t="shared" si="13"/>
        <v>3</v>
      </c>
      <c r="M115">
        <f t="shared" si="14"/>
        <v>2</v>
      </c>
      <c r="N115" t="str">
        <f t="shared" si="15"/>
        <v>PASS</v>
      </c>
      <c r="O115">
        <v>159.22</v>
      </c>
    </row>
    <row r="116" spans="1:15" x14ac:dyDescent="0.2">
      <c r="A116" t="s">
        <v>76</v>
      </c>
      <c r="B116" t="s">
        <v>140</v>
      </c>
      <c r="C116" t="s">
        <v>103</v>
      </c>
      <c r="D116">
        <v>14</v>
      </c>
      <c r="E116">
        <v>0.3039</v>
      </c>
      <c r="F116">
        <f t="shared" si="12"/>
        <v>226.33</v>
      </c>
      <c r="G116">
        <v>1.82</v>
      </c>
      <c r="H116">
        <v>4.78</v>
      </c>
      <c r="I116" t="s">
        <v>24</v>
      </c>
      <c r="J116" t="s">
        <v>15</v>
      </c>
      <c r="K116" t="s">
        <v>27</v>
      </c>
      <c r="L116">
        <f t="shared" si="13"/>
        <v>3</v>
      </c>
      <c r="M116">
        <f t="shared" si="14"/>
        <v>2</v>
      </c>
      <c r="N116" t="str">
        <f t="shared" si="15"/>
        <v>PASS</v>
      </c>
      <c r="O116">
        <v>226.33</v>
      </c>
    </row>
    <row r="117" spans="1:15" x14ac:dyDescent="0.2">
      <c r="A117" t="s">
        <v>76</v>
      </c>
      <c r="B117" t="s">
        <v>141</v>
      </c>
      <c r="C117" t="s">
        <v>81</v>
      </c>
      <c r="D117">
        <v>16</v>
      </c>
      <c r="E117">
        <v>0.30380000000000001</v>
      </c>
      <c r="F117">
        <f t="shared" si="12"/>
        <v>295.13</v>
      </c>
      <c r="G117">
        <v>2.52</v>
      </c>
      <c r="H117">
        <v>4.8600000000000003</v>
      </c>
      <c r="I117" t="s">
        <v>24</v>
      </c>
      <c r="J117" t="s">
        <v>15</v>
      </c>
      <c r="K117" t="s">
        <v>27</v>
      </c>
      <c r="L117">
        <f t="shared" si="13"/>
        <v>3</v>
      </c>
      <c r="M117">
        <f t="shared" si="14"/>
        <v>2</v>
      </c>
      <c r="N117" t="str">
        <f t="shared" si="15"/>
        <v>PASS</v>
      </c>
      <c r="O117">
        <v>295.13</v>
      </c>
    </row>
    <row r="118" spans="1:15" x14ac:dyDescent="0.2">
      <c r="A118" t="s">
        <v>76</v>
      </c>
      <c r="B118" t="s">
        <v>142</v>
      </c>
      <c r="C118" t="s">
        <v>85</v>
      </c>
      <c r="D118">
        <v>11</v>
      </c>
      <c r="E118">
        <v>0.28889999999999999</v>
      </c>
      <c r="F118">
        <f t="shared" si="12"/>
        <v>130.25</v>
      </c>
      <c r="G118">
        <v>1.94</v>
      </c>
      <c r="H118">
        <v>4.79</v>
      </c>
      <c r="I118" t="s">
        <v>24</v>
      </c>
      <c r="J118" t="s">
        <v>15</v>
      </c>
      <c r="K118" t="s">
        <v>27</v>
      </c>
      <c r="L118">
        <f t="shared" si="13"/>
        <v>2</v>
      </c>
      <c r="M118">
        <f t="shared" si="14"/>
        <v>2</v>
      </c>
      <c r="N118" t="str">
        <f t="shared" si="15"/>
        <v>PASS</v>
      </c>
      <c r="O118">
        <v>130.25</v>
      </c>
    </row>
    <row r="119" spans="1:15" x14ac:dyDescent="0.2">
      <c r="A119" t="s">
        <v>76</v>
      </c>
      <c r="B119" t="s">
        <v>143</v>
      </c>
      <c r="C119" t="s">
        <v>85</v>
      </c>
      <c r="D119">
        <v>27</v>
      </c>
      <c r="E119">
        <v>0.2888</v>
      </c>
      <c r="F119">
        <f t="shared" si="12"/>
        <v>247.65</v>
      </c>
      <c r="G119">
        <v>2.29</v>
      </c>
      <c r="H119">
        <v>4.8899999999999997</v>
      </c>
      <c r="I119" t="s">
        <v>24</v>
      </c>
      <c r="J119" t="s">
        <v>15</v>
      </c>
      <c r="K119" t="s">
        <v>27</v>
      </c>
      <c r="L119">
        <f t="shared" si="13"/>
        <v>2</v>
      </c>
      <c r="M119">
        <f t="shared" si="14"/>
        <v>2</v>
      </c>
      <c r="N119" t="str">
        <f t="shared" si="15"/>
        <v>PASS</v>
      </c>
      <c r="O119">
        <v>247.65</v>
      </c>
    </row>
    <row r="120" spans="1:15" x14ac:dyDescent="0.2">
      <c r="A120" t="s">
        <v>76</v>
      </c>
      <c r="B120" t="s">
        <v>144</v>
      </c>
      <c r="C120" t="s">
        <v>85</v>
      </c>
      <c r="D120">
        <v>37</v>
      </c>
      <c r="E120">
        <v>0.28799999999999998</v>
      </c>
      <c r="F120">
        <f t="shared" si="12"/>
        <v>240.47</v>
      </c>
      <c r="G120">
        <v>2.72</v>
      </c>
      <c r="H120">
        <v>4.8</v>
      </c>
      <c r="I120" t="s">
        <v>24</v>
      </c>
      <c r="J120" t="s">
        <v>15</v>
      </c>
      <c r="K120" t="s">
        <v>27</v>
      </c>
      <c r="L120">
        <f t="shared" si="13"/>
        <v>2</v>
      </c>
      <c r="M120">
        <f t="shared" si="14"/>
        <v>2</v>
      </c>
      <c r="N120" t="str">
        <f t="shared" si="15"/>
        <v>PASS</v>
      </c>
      <c r="O120">
        <v>240.47</v>
      </c>
    </row>
    <row r="121" spans="1:15" x14ac:dyDescent="0.2">
      <c r="A121" t="s">
        <v>76</v>
      </c>
      <c r="B121" t="s">
        <v>145</v>
      </c>
      <c r="C121" t="s">
        <v>85</v>
      </c>
      <c r="D121">
        <v>10</v>
      </c>
      <c r="E121">
        <v>0.28770000000000001</v>
      </c>
      <c r="F121">
        <f t="shared" si="12"/>
        <v>193.27</v>
      </c>
      <c r="G121">
        <v>1.89</v>
      </c>
      <c r="H121">
        <v>4.67</v>
      </c>
      <c r="I121" t="s">
        <v>24</v>
      </c>
      <c r="J121" t="s">
        <v>15</v>
      </c>
      <c r="K121" t="s">
        <v>27</v>
      </c>
      <c r="L121">
        <f t="shared" si="13"/>
        <v>2</v>
      </c>
      <c r="M121">
        <f t="shared" si="14"/>
        <v>2</v>
      </c>
      <c r="N121" t="str">
        <f t="shared" si="15"/>
        <v>PASS</v>
      </c>
      <c r="O121">
        <v>193.27</v>
      </c>
    </row>
    <row r="122" spans="1:15" x14ac:dyDescent="0.2">
      <c r="A122" t="s">
        <v>76</v>
      </c>
      <c r="B122" t="s">
        <v>146</v>
      </c>
      <c r="C122" t="s">
        <v>85</v>
      </c>
      <c r="D122">
        <v>12</v>
      </c>
      <c r="E122">
        <v>0.28520000000000001</v>
      </c>
      <c r="F122">
        <f t="shared" si="12"/>
        <v>224.96</v>
      </c>
      <c r="G122">
        <v>2.36</v>
      </c>
      <c r="H122">
        <v>4.76</v>
      </c>
      <c r="I122" t="s">
        <v>24</v>
      </c>
      <c r="J122" t="s">
        <v>15</v>
      </c>
      <c r="K122" t="s">
        <v>27</v>
      </c>
      <c r="L122">
        <f t="shared" si="13"/>
        <v>2</v>
      </c>
      <c r="M122">
        <f t="shared" si="14"/>
        <v>2</v>
      </c>
      <c r="N122" t="str">
        <f t="shared" si="15"/>
        <v>PASS</v>
      </c>
      <c r="O122">
        <v>224.96</v>
      </c>
    </row>
    <row r="123" spans="1:15" x14ac:dyDescent="0.2">
      <c r="A123" t="s">
        <v>76</v>
      </c>
      <c r="B123" t="s">
        <v>147</v>
      </c>
      <c r="C123" t="s">
        <v>81</v>
      </c>
      <c r="D123">
        <v>64</v>
      </c>
      <c r="E123">
        <v>0.27829999999999999</v>
      </c>
      <c r="F123">
        <f t="shared" si="12"/>
        <v>239.68</v>
      </c>
      <c r="G123">
        <v>2.37</v>
      </c>
      <c r="H123">
        <v>4.88</v>
      </c>
      <c r="I123" t="s">
        <v>24</v>
      </c>
      <c r="J123" t="s">
        <v>15</v>
      </c>
      <c r="K123" t="s">
        <v>27</v>
      </c>
      <c r="L123">
        <f t="shared" si="13"/>
        <v>2</v>
      </c>
      <c r="M123">
        <f t="shared" si="14"/>
        <v>2</v>
      </c>
      <c r="N123" t="str">
        <f t="shared" si="15"/>
        <v>PASS</v>
      </c>
      <c r="O123">
        <v>239.68</v>
      </c>
    </row>
    <row r="124" spans="1:15" x14ac:dyDescent="0.2">
      <c r="A124" t="s">
        <v>76</v>
      </c>
      <c r="B124" t="s">
        <v>149</v>
      </c>
      <c r="C124" t="s">
        <v>81</v>
      </c>
      <c r="D124">
        <v>18</v>
      </c>
      <c r="E124">
        <v>0.2422</v>
      </c>
      <c r="F124">
        <f t="shared" si="12"/>
        <v>185.46</v>
      </c>
      <c r="G124">
        <v>3.4</v>
      </c>
      <c r="H124">
        <v>4.5199999999999996</v>
      </c>
      <c r="I124" t="s">
        <v>24</v>
      </c>
      <c r="J124" t="s">
        <v>15</v>
      </c>
      <c r="K124" t="s">
        <v>27</v>
      </c>
      <c r="L124">
        <f t="shared" si="13"/>
        <v>2</v>
      </c>
      <c r="M124">
        <f t="shared" si="14"/>
        <v>2</v>
      </c>
      <c r="N124" t="str">
        <f t="shared" si="15"/>
        <v>PASS</v>
      </c>
      <c r="O124">
        <v>185.46</v>
      </c>
    </row>
    <row r="125" spans="1:15" x14ac:dyDescent="0.2">
      <c r="A125" t="s">
        <v>76</v>
      </c>
      <c r="B125" t="s">
        <v>150</v>
      </c>
      <c r="C125" t="s">
        <v>81</v>
      </c>
      <c r="D125">
        <v>22</v>
      </c>
      <c r="E125">
        <v>0.2331</v>
      </c>
      <c r="F125">
        <f t="shared" si="12"/>
        <v>219.02</v>
      </c>
      <c r="G125">
        <v>2.0499999999999998</v>
      </c>
      <c r="H125">
        <v>4.7300000000000004</v>
      </c>
      <c r="I125" t="s">
        <v>24</v>
      </c>
      <c r="J125" t="s">
        <v>15</v>
      </c>
      <c r="K125" t="s">
        <v>27</v>
      </c>
      <c r="L125">
        <f t="shared" si="13"/>
        <v>2</v>
      </c>
      <c r="M125">
        <f t="shared" si="14"/>
        <v>2</v>
      </c>
      <c r="N125" t="str">
        <f t="shared" si="15"/>
        <v>PASS</v>
      </c>
      <c r="O125">
        <v>219.02</v>
      </c>
    </row>
    <row r="126" spans="1:15" x14ac:dyDescent="0.2">
      <c r="A126" t="s">
        <v>76</v>
      </c>
      <c r="B126" t="s">
        <v>151</v>
      </c>
      <c r="C126" t="s">
        <v>85</v>
      </c>
      <c r="D126">
        <v>28</v>
      </c>
      <c r="E126">
        <v>0.2155</v>
      </c>
      <c r="F126">
        <f t="shared" si="12"/>
        <v>241.86</v>
      </c>
      <c r="G126">
        <v>3.72</v>
      </c>
      <c r="H126">
        <v>4.7699999999999996</v>
      </c>
      <c r="I126" t="s">
        <v>24</v>
      </c>
      <c r="J126" t="s">
        <v>15</v>
      </c>
      <c r="K126" t="s">
        <v>27</v>
      </c>
      <c r="L126">
        <f t="shared" si="13"/>
        <v>2</v>
      </c>
      <c r="M126">
        <f t="shared" si="14"/>
        <v>2</v>
      </c>
      <c r="N126" t="str">
        <f t="shared" si="15"/>
        <v>PASS</v>
      </c>
      <c r="O126">
        <v>241.86</v>
      </c>
    </row>
    <row r="127" spans="1:15" x14ac:dyDescent="0.2">
      <c r="A127" t="s">
        <v>76</v>
      </c>
      <c r="B127" t="s">
        <v>152</v>
      </c>
      <c r="C127" t="s">
        <v>81</v>
      </c>
      <c r="D127">
        <v>68</v>
      </c>
      <c r="E127">
        <v>0.21510000000000001</v>
      </c>
      <c r="F127">
        <f t="shared" si="12"/>
        <v>156.07</v>
      </c>
      <c r="G127">
        <v>3.7</v>
      </c>
      <c r="H127">
        <v>4.54</v>
      </c>
      <c r="I127" t="s">
        <v>24</v>
      </c>
      <c r="J127" t="s">
        <v>15</v>
      </c>
      <c r="K127" t="s">
        <v>27</v>
      </c>
      <c r="L127">
        <f t="shared" si="13"/>
        <v>2</v>
      </c>
      <c r="M127">
        <f t="shared" si="14"/>
        <v>2</v>
      </c>
      <c r="N127" t="str">
        <f t="shared" si="15"/>
        <v>PASS</v>
      </c>
      <c r="O127">
        <v>156.07</v>
      </c>
    </row>
    <row r="128" spans="1:15" x14ac:dyDescent="0.2">
      <c r="A128" t="s">
        <v>76</v>
      </c>
      <c r="B128" t="s">
        <v>153</v>
      </c>
      <c r="C128" t="s">
        <v>85</v>
      </c>
      <c r="D128">
        <v>11</v>
      </c>
      <c r="E128">
        <v>0.15870000000000001</v>
      </c>
      <c r="F128">
        <f t="shared" si="12"/>
        <v>174.48</v>
      </c>
      <c r="G128">
        <v>2.61</v>
      </c>
      <c r="H128">
        <v>4.8600000000000003</v>
      </c>
      <c r="I128" t="s">
        <v>24</v>
      </c>
      <c r="J128" t="s">
        <v>15</v>
      </c>
      <c r="K128" t="s">
        <v>27</v>
      </c>
      <c r="L128">
        <f t="shared" si="13"/>
        <v>1</v>
      </c>
      <c r="M128">
        <f t="shared" si="14"/>
        <v>2</v>
      </c>
      <c r="N128" t="str">
        <f t="shared" si="15"/>
        <v>PASS</v>
      </c>
      <c r="O128">
        <v>174.48</v>
      </c>
    </row>
    <row r="129" spans="1:15" x14ac:dyDescent="0.2">
      <c r="A129" t="s">
        <v>76</v>
      </c>
      <c r="B129" t="s">
        <v>154</v>
      </c>
      <c r="C129" t="s">
        <v>78</v>
      </c>
      <c r="D129">
        <v>12</v>
      </c>
      <c r="E129">
        <v>9.5899999999999999E-2</v>
      </c>
      <c r="F129">
        <f t="shared" si="12"/>
        <v>288.95999999999998</v>
      </c>
      <c r="G129">
        <v>2.82</v>
      </c>
      <c r="H129">
        <v>4.55</v>
      </c>
      <c r="I129" t="s">
        <v>24</v>
      </c>
      <c r="J129" t="s">
        <v>15</v>
      </c>
      <c r="K129" t="s">
        <v>27</v>
      </c>
      <c r="L129">
        <f t="shared" si="13"/>
        <v>1</v>
      </c>
      <c r="M129">
        <f t="shared" si="14"/>
        <v>2</v>
      </c>
      <c r="N129" t="str">
        <f t="shared" si="15"/>
        <v>PASS</v>
      </c>
      <c r="O129">
        <v>288.95999999999998</v>
      </c>
    </row>
    <row r="130" spans="1:15" x14ac:dyDescent="0.2">
      <c r="A130" t="s">
        <v>76</v>
      </c>
      <c r="B130" t="s">
        <v>155</v>
      </c>
      <c r="C130" t="s">
        <v>103</v>
      </c>
      <c r="D130">
        <v>17</v>
      </c>
      <c r="E130">
        <v>6.0900000000000003E-2</v>
      </c>
      <c r="F130">
        <f t="shared" si="12"/>
        <v>186.54</v>
      </c>
      <c r="G130">
        <v>0.85</v>
      </c>
      <c r="H130">
        <v>4.04</v>
      </c>
      <c r="I130" t="s">
        <v>24</v>
      </c>
      <c r="J130" t="s">
        <v>15</v>
      </c>
      <c r="K130" t="s">
        <v>27</v>
      </c>
      <c r="L130">
        <f t="shared" si="13"/>
        <v>1</v>
      </c>
      <c r="M130">
        <f t="shared" si="14"/>
        <v>2</v>
      </c>
      <c r="N130" t="str">
        <f t="shared" si="15"/>
        <v>PASS</v>
      </c>
      <c r="O130">
        <v>186.54</v>
      </c>
    </row>
  </sheetData>
  <conditionalFormatting sqref="N1:N130">
    <cfRule type="containsText" dxfId="12" priority="1" operator="containsText" text="PASS">
      <formula>NOT(ISERROR(SEARCH("PASS",N1)))</formula>
    </cfRule>
    <cfRule type="containsText" dxfId="11" priority="2" operator="containsText" text="LOW">
      <formula>NOT(ISERROR(SEARCH("LOW",N1)))</formula>
    </cfRule>
    <cfRule type="containsText" dxfId="10" priority="3" operator="containsText" text="MEDIUM">
      <formula>NOT(ISERROR(SEARCH("MEDIUM",N1)))</formula>
    </cfRule>
    <cfRule type="containsText" dxfId="9" priority="4" operator="containsText" text="HIGH">
      <formula>NOT(ISERROR(SEARCH("HIGH",N1)))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666D-9328-3B41-A033-E9227AFF7996}">
  <sheetPr>
    <tabColor rgb="FF00B0F0"/>
  </sheetPr>
  <dimension ref="A1:D61"/>
  <sheetViews>
    <sheetView zoomScale="112" workbookViewId="0">
      <selection activeCell="B33" sqref="B33"/>
    </sheetView>
  </sheetViews>
  <sheetFormatPr baseColWidth="10" defaultRowHeight="16" x14ac:dyDescent="0.2"/>
  <cols>
    <col min="1" max="1" width="26.83203125" bestFit="1" customWidth="1"/>
    <col min="2" max="2" width="9.33203125" bestFit="1" customWidth="1"/>
    <col min="3" max="3" width="14.6640625" bestFit="1" customWidth="1"/>
    <col min="4" max="4" width="14" bestFit="1" customWidth="1"/>
  </cols>
  <sheetData>
    <row r="1" spans="1:4" x14ac:dyDescent="0.2">
      <c r="A1" s="1" t="s">
        <v>206</v>
      </c>
      <c r="B1" t="s">
        <v>210</v>
      </c>
    </row>
    <row r="3" spans="1:4" x14ac:dyDescent="0.2">
      <c r="A3" s="1" t="s">
        <v>207</v>
      </c>
      <c r="B3" t="s">
        <v>212</v>
      </c>
      <c r="C3" t="s">
        <v>214</v>
      </c>
      <c r="D3" t="s">
        <v>213</v>
      </c>
    </row>
    <row r="4" spans="1:4" x14ac:dyDescent="0.2">
      <c r="A4" s="2" t="s">
        <v>11</v>
      </c>
      <c r="B4">
        <v>5036</v>
      </c>
      <c r="C4">
        <v>78.121499999999997</v>
      </c>
      <c r="D4" s="5">
        <v>0.31382500000000002</v>
      </c>
    </row>
    <row r="5" spans="1:4" x14ac:dyDescent="0.2">
      <c r="A5" s="3" t="s">
        <v>21</v>
      </c>
      <c r="B5">
        <v>2425</v>
      </c>
      <c r="C5">
        <v>83.466999999999999</v>
      </c>
      <c r="D5" s="5">
        <v>0.3115</v>
      </c>
    </row>
    <row r="6" spans="1:4" x14ac:dyDescent="0.2">
      <c r="A6" s="3" t="s">
        <v>22</v>
      </c>
      <c r="B6">
        <v>1389</v>
      </c>
      <c r="C6">
        <v>98.897000000000006</v>
      </c>
      <c r="D6" s="5">
        <v>0.30630000000000002</v>
      </c>
    </row>
    <row r="7" spans="1:4" x14ac:dyDescent="0.2">
      <c r="A7" s="3" t="s">
        <v>12</v>
      </c>
      <c r="B7">
        <v>414</v>
      </c>
      <c r="C7">
        <v>68.871000000000009</v>
      </c>
      <c r="D7" s="5">
        <v>0.32369999999999999</v>
      </c>
    </row>
    <row r="8" spans="1:4" x14ac:dyDescent="0.2">
      <c r="A8" s="3" t="s">
        <v>20</v>
      </c>
      <c r="B8">
        <v>808</v>
      </c>
      <c r="C8">
        <v>61.250999999999998</v>
      </c>
      <c r="D8" s="5">
        <v>0.31380000000000002</v>
      </c>
    </row>
    <row r="9" spans="1:4" x14ac:dyDescent="0.2">
      <c r="A9" s="2" t="s">
        <v>37</v>
      </c>
      <c r="B9">
        <v>942</v>
      </c>
      <c r="C9">
        <v>294.22565217391309</v>
      </c>
      <c r="D9" s="5">
        <v>0.45538695652173905</v>
      </c>
    </row>
    <row r="10" spans="1:4" x14ac:dyDescent="0.2">
      <c r="A10" s="3" t="s">
        <v>52</v>
      </c>
      <c r="B10">
        <v>29</v>
      </c>
      <c r="C10">
        <v>298.72000000000003</v>
      </c>
      <c r="D10" s="5">
        <v>0.44409999999999999</v>
      </c>
    </row>
    <row r="11" spans="1:4" x14ac:dyDescent="0.2">
      <c r="A11" s="3" t="s">
        <v>39</v>
      </c>
      <c r="B11">
        <v>40</v>
      </c>
      <c r="C11">
        <v>330.78</v>
      </c>
      <c r="D11" s="5">
        <v>0.52559999999999996</v>
      </c>
    </row>
    <row r="12" spans="1:4" x14ac:dyDescent="0.2">
      <c r="A12" s="3" t="s">
        <v>47</v>
      </c>
      <c r="B12">
        <v>58</v>
      </c>
      <c r="C12">
        <v>282.35000000000002</v>
      </c>
      <c r="D12" s="5">
        <v>0.4723</v>
      </c>
    </row>
    <row r="13" spans="1:4" x14ac:dyDescent="0.2">
      <c r="A13" s="3" t="s">
        <v>43</v>
      </c>
      <c r="B13">
        <v>49</v>
      </c>
      <c r="C13">
        <v>312.66000000000003</v>
      </c>
      <c r="D13" s="5">
        <v>0.49530000000000002</v>
      </c>
    </row>
    <row r="14" spans="1:4" x14ac:dyDescent="0.2">
      <c r="A14" s="3" t="s">
        <v>59</v>
      </c>
      <c r="B14">
        <v>126</v>
      </c>
      <c r="C14">
        <v>325.83</v>
      </c>
      <c r="D14" s="5">
        <v>0.41470000000000001</v>
      </c>
    </row>
    <row r="15" spans="1:4" x14ac:dyDescent="0.2">
      <c r="A15" s="3" t="s">
        <v>38</v>
      </c>
      <c r="B15">
        <v>24</v>
      </c>
      <c r="C15">
        <v>311.89999999999998</v>
      </c>
      <c r="D15" s="5">
        <v>0.55410000000000004</v>
      </c>
    </row>
    <row r="16" spans="1:4" x14ac:dyDescent="0.2">
      <c r="A16" s="3" t="s">
        <v>42</v>
      </c>
      <c r="B16">
        <v>14</v>
      </c>
      <c r="C16">
        <v>313.87</v>
      </c>
      <c r="D16" s="5">
        <v>0.49590000000000001</v>
      </c>
    </row>
    <row r="17" spans="1:4" x14ac:dyDescent="0.2">
      <c r="A17" s="3" t="s">
        <v>44</v>
      </c>
      <c r="B17">
        <v>17</v>
      </c>
      <c r="C17">
        <v>285.76</v>
      </c>
      <c r="D17" s="5">
        <v>0.49480000000000002</v>
      </c>
    </row>
    <row r="18" spans="1:4" x14ac:dyDescent="0.2">
      <c r="A18" s="3" t="s">
        <v>40</v>
      </c>
      <c r="B18">
        <v>28</v>
      </c>
      <c r="C18">
        <v>322.69</v>
      </c>
      <c r="D18" s="5">
        <v>0.50670000000000004</v>
      </c>
    </row>
    <row r="19" spans="1:4" x14ac:dyDescent="0.2">
      <c r="A19" s="3" t="s">
        <v>61</v>
      </c>
      <c r="B19">
        <v>24</v>
      </c>
      <c r="C19">
        <v>310.33999999999997</v>
      </c>
      <c r="D19" s="5">
        <v>0.3881</v>
      </c>
    </row>
    <row r="20" spans="1:4" x14ac:dyDescent="0.2">
      <c r="A20" s="3" t="s">
        <v>51</v>
      </c>
      <c r="B20">
        <v>16</v>
      </c>
      <c r="C20">
        <v>256.27</v>
      </c>
      <c r="D20" s="5">
        <v>0.46079999999999999</v>
      </c>
    </row>
    <row r="21" spans="1:4" x14ac:dyDescent="0.2">
      <c r="A21" s="3" t="s">
        <v>57</v>
      </c>
      <c r="B21">
        <v>12</v>
      </c>
      <c r="C21">
        <v>262.76</v>
      </c>
      <c r="D21" s="5">
        <v>0.42049999999999998</v>
      </c>
    </row>
    <row r="22" spans="1:4" x14ac:dyDescent="0.2">
      <c r="A22" s="3" t="s">
        <v>41</v>
      </c>
      <c r="B22">
        <v>58</v>
      </c>
      <c r="C22">
        <v>291.08999999999997</v>
      </c>
      <c r="D22" s="5">
        <v>0.50349999999999995</v>
      </c>
    </row>
    <row r="23" spans="1:4" x14ac:dyDescent="0.2">
      <c r="A23" s="3" t="s">
        <v>67</v>
      </c>
      <c r="B23">
        <v>14</v>
      </c>
      <c r="C23">
        <v>281.27999999999997</v>
      </c>
      <c r="D23" s="5">
        <v>0.3624</v>
      </c>
    </row>
    <row r="24" spans="1:4" x14ac:dyDescent="0.2">
      <c r="A24" s="3" t="s">
        <v>56</v>
      </c>
      <c r="B24">
        <v>34</v>
      </c>
      <c r="C24">
        <v>226.25</v>
      </c>
      <c r="D24" s="5">
        <v>0.42659999999999998</v>
      </c>
    </row>
    <row r="25" spans="1:4" x14ac:dyDescent="0.2">
      <c r="A25" s="3" t="s">
        <v>46</v>
      </c>
      <c r="B25">
        <v>10</v>
      </c>
      <c r="C25">
        <v>295.72000000000003</v>
      </c>
      <c r="D25" s="5">
        <v>0.48110000000000003</v>
      </c>
    </row>
    <row r="26" spans="1:4" x14ac:dyDescent="0.2">
      <c r="A26" s="3" t="s">
        <v>58</v>
      </c>
      <c r="B26">
        <v>24</v>
      </c>
      <c r="C26">
        <v>320.39999999999998</v>
      </c>
      <c r="D26" s="5">
        <v>0.42</v>
      </c>
    </row>
    <row r="27" spans="1:4" x14ac:dyDescent="0.2">
      <c r="A27" s="3" t="s">
        <v>45</v>
      </c>
      <c r="B27">
        <v>24</v>
      </c>
      <c r="C27">
        <v>241.42</v>
      </c>
      <c r="D27" s="5">
        <v>0.48130000000000001</v>
      </c>
    </row>
    <row r="28" spans="1:4" x14ac:dyDescent="0.2">
      <c r="A28" s="3" t="s">
        <v>60</v>
      </c>
      <c r="B28">
        <v>12</v>
      </c>
      <c r="C28">
        <v>212.92</v>
      </c>
      <c r="D28" s="5">
        <v>0.41439999999999999</v>
      </c>
    </row>
    <row r="29" spans="1:4" x14ac:dyDescent="0.2">
      <c r="A29" s="3" t="s">
        <v>48</v>
      </c>
      <c r="B29">
        <v>11</v>
      </c>
      <c r="C29">
        <v>350.23</v>
      </c>
      <c r="D29" s="5">
        <v>0.46500000000000002</v>
      </c>
    </row>
    <row r="30" spans="1:4" x14ac:dyDescent="0.2">
      <c r="A30" s="3" t="s">
        <v>55</v>
      </c>
      <c r="B30">
        <v>182</v>
      </c>
      <c r="C30">
        <v>324.93</v>
      </c>
      <c r="D30" s="5">
        <v>0.4335</v>
      </c>
    </row>
    <row r="31" spans="1:4" x14ac:dyDescent="0.2">
      <c r="A31" s="3" t="s">
        <v>63</v>
      </c>
      <c r="B31">
        <v>68</v>
      </c>
      <c r="C31">
        <v>270.92</v>
      </c>
      <c r="D31" s="5">
        <v>0.37109999999999999</v>
      </c>
    </row>
    <row r="32" spans="1:4" x14ac:dyDescent="0.2">
      <c r="A32" s="3" t="s">
        <v>53</v>
      </c>
      <c r="B32">
        <v>68</v>
      </c>
      <c r="C32">
        <v>338.1</v>
      </c>
      <c r="D32" s="5">
        <v>0.44209999999999999</v>
      </c>
    </row>
    <row r="33" spans="1:4" x14ac:dyDescent="0.2">
      <c r="A33" s="2" t="s">
        <v>76</v>
      </c>
      <c r="B33">
        <v>1182</v>
      </c>
      <c r="C33">
        <v>266.6025925925926</v>
      </c>
      <c r="D33" s="5">
        <v>0.48832962962962972</v>
      </c>
    </row>
    <row r="34" spans="1:4" x14ac:dyDescent="0.2">
      <c r="A34" s="3" t="s">
        <v>98</v>
      </c>
      <c r="B34">
        <v>10</v>
      </c>
      <c r="C34">
        <v>291.05</v>
      </c>
      <c r="D34" s="5">
        <v>0.48470000000000002</v>
      </c>
    </row>
    <row r="35" spans="1:4" x14ac:dyDescent="0.2">
      <c r="A35" s="3" t="s">
        <v>106</v>
      </c>
      <c r="B35">
        <v>276</v>
      </c>
      <c r="C35">
        <v>272.64999999999998</v>
      </c>
      <c r="D35" s="5">
        <v>0.46860000000000002</v>
      </c>
    </row>
    <row r="36" spans="1:4" x14ac:dyDescent="0.2">
      <c r="A36" s="3" t="s">
        <v>113</v>
      </c>
      <c r="B36">
        <v>111</v>
      </c>
      <c r="C36">
        <v>233.28</v>
      </c>
      <c r="D36" s="5">
        <v>0.42880000000000001</v>
      </c>
    </row>
    <row r="37" spans="1:4" x14ac:dyDescent="0.2">
      <c r="A37" s="3" t="s">
        <v>88</v>
      </c>
      <c r="B37">
        <v>10</v>
      </c>
      <c r="C37">
        <v>332.34</v>
      </c>
      <c r="D37" s="5">
        <v>0.55889999999999995</v>
      </c>
    </row>
    <row r="38" spans="1:4" x14ac:dyDescent="0.2">
      <c r="A38" s="3" t="s">
        <v>121</v>
      </c>
      <c r="B38">
        <v>121</v>
      </c>
      <c r="C38">
        <v>295.86</v>
      </c>
      <c r="D38" s="5">
        <v>0.41339999999999999</v>
      </c>
    </row>
    <row r="39" spans="1:4" x14ac:dyDescent="0.2">
      <c r="A39" s="3" t="s">
        <v>111</v>
      </c>
      <c r="B39">
        <v>62</v>
      </c>
      <c r="C39">
        <v>303.13</v>
      </c>
      <c r="D39" s="5">
        <v>0.44879999999999998</v>
      </c>
    </row>
    <row r="40" spans="1:4" x14ac:dyDescent="0.2">
      <c r="A40" s="3" t="s">
        <v>97</v>
      </c>
      <c r="B40">
        <v>18</v>
      </c>
      <c r="C40">
        <v>277.18</v>
      </c>
      <c r="D40" s="5">
        <v>0.49030000000000001</v>
      </c>
    </row>
    <row r="41" spans="1:4" x14ac:dyDescent="0.2">
      <c r="A41" s="3" t="s">
        <v>84</v>
      </c>
      <c r="B41">
        <v>11</v>
      </c>
      <c r="C41">
        <v>197.86</v>
      </c>
      <c r="D41" s="5">
        <v>0.56859999999999999</v>
      </c>
    </row>
    <row r="42" spans="1:4" x14ac:dyDescent="0.2">
      <c r="A42" s="3" t="s">
        <v>102</v>
      </c>
      <c r="B42">
        <v>11</v>
      </c>
      <c r="C42">
        <v>141.22999999999999</v>
      </c>
      <c r="D42" s="5">
        <v>0.47549999999999998</v>
      </c>
    </row>
    <row r="43" spans="1:4" x14ac:dyDescent="0.2">
      <c r="A43" s="3" t="s">
        <v>120</v>
      </c>
      <c r="B43">
        <v>30</v>
      </c>
      <c r="C43">
        <v>293.01</v>
      </c>
      <c r="D43" s="5">
        <v>0.41639999999999999</v>
      </c>
    </row>
    <row r="44" spans="1:4" x14ac:dyDescent="0.2">
      <c r="A44" s="3" t="s">
        <v>117</v>
      </c>
      <c r="B44">
        <v>46</v>
      </c>
      <c r="C44">
        <v>307.36</v>
      </c>
      <c r="D44" s="5">
        <v>0.4224</v>
      </c>
    </row>
    <row r="45" spans="1:4" x14ac:dyDescent="0.2">
      <c r="A45" s="3" t="s">
        <v>119</v>
      </c>
      <c r="B45">
        <v>48</v>
      </c>
      <c r="C45">
        <v>241.68</v>
      </c>
      <c r="D45" s="5">
        <v>0.41649999999999998</v>
      </c>
    </row>
    <row r="46" spans="1:4" x14ac:dyDescent="0.2">
      <c r="A46" s="3" t="s">
        <v>82</v>
      </c>
      <c r="B46">
        <v>14</v>
      </c>
      <c r="C46">
        <v>343.27</v>
      </c>
      <c r="D46" s="5">
        <v>0.60270000000000001</v>
      </c>
    </row>
    <row r="47" spans="1:4" x14ac:dyDescent="0.2">
      <c r="A47" s="3" t="s">
        <v>80</v>
      </c>
      <c r="B47">
        <v>14</v>
      </c>
      <c r="C47">
        <v>326.24</v>
      </c>
      <c r="D47" s="5">
        <v>0.61150000000000004</v>
      </c>
    </row>
    <row r="48" spans="1:4" x14ac:dyDescent="0.2">
      <c r="A48" s="3" t="s">
        <v>77</v>
      </c>
      <c r="B48">
        <v>32</v>
      </c>
      <c r="C48">
        <v>236.45</v>
      </c>
      <c r="D48" s="5">
        <v>0.68110000000000004</v>
      </c>
    </row>
    <row r="49" spans="1:4" x14ac:dyDescent="0.2">
      <c r="A49" s="3" t="s">
        <v>116</v>
      </c>
      <c r="B49">
        <v>11</v>
      </c>
      <c r="C49">
        <v>226.74</v>
      </c>
      <c r="D49" s="5">
        <v>0.4224</v>
      </c>
    </row>
    <row r="50" spans="1:4" x14ac:dyDescent="0.2">
      <c r="A50" s="3" t="s">
        <v>110</v>
      </c>
      <c r="B50">
        <v>11</v>
      </c>
      <c r="C50">
        <v>203.01</v>
      </c>
      <c r="D50" s="5">
        <v>0.4541</v>
      </c>
    </row>
    <row r="51" spans="1:4" x14ac:dyDescent="0.2">
      <c r="A51" s="3" t="s">
        <v>86</v>
      </c>
      <c r="B51">
        <v>12</v>
      </c>
      <c r="C51">
        <v>313.16000000000003</v>
      </c>
      <c r="D51" s="5">
        <v>0.56689999999999996</v>
      </c>
    </row>
    <row r="52" spans="1:4" x14ac:dyDescent="0.2">
      <c r="A52" s="3" t="s">
        <v>93</v>
      </c>
      <c r="B52">
        <v>27</v>
      </c>
      <c r="C52">
        <v>339.58</v>
      </c>
      <c r="D52" s="5">
        <v>0.51749999999999996</v>
      </c>
    </row>
    <row r="53" spans="1:4" x14ac:dyDescent="0.2">
      <c r="A53" s="3" t="s">
        <v>100</v>
      </c>
      <c r="B53">
        <v>29</v>
      </c>
      <c r="C53">
        <v>259.69</v>
      </c>
      <c r="D53" s="5">
        <v>0.4834</v>
      </c>
    </row>
    <row r="54" spans="1:4" x14ac:dyDescent="0.2">
      <c r="A54" s="3" t="s">
        <v>118</v>
      </c>
      <c r="B54">
        <v>23</v>
      </c>
      <c r="C54">
        <v>216.69</v>
      </c>
      <c r="D54" s="5">
        <v>0.41820000000000002</v>
      </c>
    </row>
    <row r="55" spans="1:4" x14ac:dyDescent="0.2">
      <c r="A55" s="3" t="s">
        <v>101</v>
      </c>
      <c r="B55">
        <v>22</v>
      </c>
      <c r="C55">
        <v>275.83</v>
      </c>
      <c r="D55" s="5">
        <v>0.47560000000000002</v>
      </c>
    </row>
    <row r="56" spans="1:4" x14ac:dyDescent="0.2">
      <c r="A56" s="3" t="s">
        <v>122</v>
      </c>
      <c r="B56">
        <v>23</v>
      </c>
      <c r="C56">
        <v>185.29</v>
      </c>
      <c r="D56" s="5">
        <v>0.4133</v>
      </c>
    </row>
    <row r="57" spans="1:4" x14ac:dyDescent="0.2">
      <c r="A57" s="3" t="s">
        <v>90</v>
      </c>
      <c r="B57">
        <v>26</v>
      </c>
      <c r="C57">
        <v>270.29000000000002</v>
      </c>
      <c r="D57" s="5">
        <v>0.53669999999999995</v>
      </c>
    </row>
    <row r="58" spans="1:4" x14ac:dyDescent="0.2">
      <c r="A58" s="3" t="s">
        <v>105</v>
      </c>
      <c r="B58">
        <v>45</v>
      </c>
      <c r="C58">
        <v>221.54</v>
      </c>
      <c r="D58" s="5">
        <v>0.46939999999999998</v>
      </c>
    </row>
    <row r="59" spans="1:4" x14ac:dyDescent="0.2">
      <c r="A59" s="3" t="s">
        <v>109</v>
      </c>
      <c r="B59">
        <v>29</v>
      </c>
      <c r="C59">
        <v>298.97000000000003</v>
      </c>
      <c r="D59" s="5">
        <v>0.45469999999999999</v>
      </c>
    </row>
    <row r="60" spans="1:4" x14ac:dyDescent="0.2">
      <c r="A60" s="3" t="s">
        <v>99</v>
      </c>
      <c r="B60">
        <v>110</v>
      </c>
      <c r="C60">
        <v>294.89</v>
      </c>
      <c r="D60" s="5">
        <v>0.48449999999999999</v>
      </c>
    </row>
    <row r="61" spans="1:4" x14ac:dyDescent="0.2">
      <c r="A61" s="2" t="s">
        <v>208</v>
      </c>
      <c r="B61">
        <v>7160</v>
      </c>
      <c r="C61">
        <v>264.40640740740753</v>
      </c>
      <c r="D61" s="5">
        <v>0.46137222222222207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07AE-4568-BD49-A090-DB30A993A56D}">
  <sheetPr>
    <tabColor theme="9"/>
  </sheetPr>
  <dimension ref="A1:G37"/>
  <sheetViews>
    <sheetView topLeftCell="A10" workbookViewId="0">
      <selection activeCell="F29" sqref="F29"/>
    </sheetView>
  </sheetViews>
  <sheetFormatPr baseColWidth="10" defaultRowHeight="16" x14ac:dyDescent="0.2"/>
  <cols>
    <col min="1" max="1" width="11.5" bestFit="1" customWidth="1"/>
    <col min="2" max="2" width="16.1640625" bestFit="1" customWidth="1"/>
    <col min="3" max="3" width="14.5" bestFit="1" customWidth="1"/>
    <col min="4" max="4" width="15.6640625" bestFit="1" customWidth="1"/>
    <col min="5" max="5" width="13.6640625" bestFit="1" customWidth="1"/>
    <col min="6" max="6" width="14.1640625" bestFit="1" customWidth="1"/>
    <col min="7" max="7" width="27.5" bestFit="1" customWidth="1"/>
  </cols>
  <sheetData>
    <row r="1" spans="1:7" x14ac:dyDescent="0.2">
      <c r="A1" t="s">
        <v>0</v>
      </c>
      <c r="B1" t="s">
        <v>156</v>
      </c>
      <c r="C1" t="s">
        <v>157</v>
      </c>
      <c r="D1" t="s">
        <v>158</v>
      </c>
      <c r="E1" t="s">
        <v>159</v>
      </c>
      <c r="F1" t="s">
        <v>160</v>
      </c>
      <c r="G1" t="s">
        <v>161</v>
      </c>
    </row>
    <row r="2" spans="1:7" x14ac:dyDescent="0.2">
      <c r="A2" t="s">
        <v>11</v>
      </c>
      <c r="B2">
        <v>1</v>
      </c>
      <c r="C2" t="s">
        <v>162</v>
      </c>
      <c r="D2">
        <v>265091</v>
      </c>
      <c r="E2">
        <v>86.4</v>
      </c>
      <c r="F2" t="s">
        <v>163</v>
      </c>
      <c r="G2" t="s">
        <v>164</v>
      </c>
    </row>
    <row r="3" spans="1:7" x14ac:dyDescent="0.2">
      <c r="A3" t="s">
        <v>11</v>
      </c>
      <c r="B3">
        <v>3</v>
      </c>
      <c r="C3" t="s">
        <v>168</v>
      </c>
      <c r="D3">
        <v>268402</v>
      </c>
      <c r="E3">
        <v>87.4</v>
      </c>
      <c r="F3" t="s">
        <v>163</v>
      </c>
      <c r="G3" t="s">
        <v>164</v>
      </c>
    </row>
    <row r="4" spans="1:7" x14ac:dyDescent="0.2">
      <c r="A4" t="s">
        <v>37</v>
      </c>
      <c r="B4">
        <v>1</v>
      </c>
      <c r="C4" t="s">
        <v>162</v>
      </c>
      <c r="D4">
        <v>87117</v>
      </c>
      <c r="E4">
        <v>88.6</v>
      </c>
      <c r="F4" t="s">
        <v>163</v>
      </c>
      <c r="G4" t="s">
        <v>164</v>
      </c>
    </row>
    <row r="5" spans="1:7" x14ac:dyDescent="0.2">
      <c r="A5" t="s">
        <v>37</v>
      </c>
      <c r="B5">
        <v>2</v>
      </c>
      <c r="C5" t="s">
        <v>165</v>
      </c>
      <c r="D5">
        <v>84461</v>
      </c>
      <c r="E5">
        <v>85.9</v>
      </c>
      <c r="F5" t="s">
        <v>163</v>
      </c>
      <c r="G5" t="s">
        <v>164</v>
      </c>
    </row>
    <row r="6" spans="1:7" x14ac:dyDescent="0.2">
      <c r="A6" t="s">
        <v>37</v>
      </c>
      <c r="B6">
        <v>4</v>
      </c>
      <c r="C6" t="s">
        <v>169</v>
      </c>
      <c r="D6">
        <v>82150</v>
      </c>
      <c r="E6">
        <v>83.6</v>
      </c>
      <c r="F6" t="s">
        <v>163</v>
      </c>
      <c r="G6" t="s">
        <v>164</v>
      </c>
    </row>
    <row r="7" spans="1:7" x14ac:dyDescent="0.2">
      <c r="A7" t="s">
        <v>76</v>
      </c>
      <c r="B7">
        <v>1</v>
      </c>
      <c r="C7" t="s">
        <v>162</v>
      </c>
      <c r="D7">
        <v>618921</v>
      </c>
      <c r="E7">
        <v>90.4</v>
      </c>
      <c r="F7" t="s">
        <v>163</v>
      </c>
      <c r="G7" t="s">
        <v>164</v>
      </c>
    </row>
    <row r="8" spans="1:7" x14ac:dyDescent="0.2">
      <c r="A8" t="s">
        <v>76</v>
      </c>
      <c r="B8">
        <v>2</v>
      </c>
      <c r="C8" t="s">
        <v>165</v>
      </c>
      <c r="D8">
        <v>579620</v>
      </c>
      <c r="E8">
        <v>84.7</v>
      </c>
      <c r="F8" t="s">
        <v>163</v>
      </c>
      <c r="G8" t="s">
        <v>164</v>
      </c>
    </row>
    <row r="9" spans="1:7" x14ac:dyDescent="0.2">
      <c r="A9" t="s">
        <v>76</v>
      </c>
      <c r="B9">
        <v>3</v>
      </c>
      <c r="C9" t="s">
        <v>168</v>
      </c>
      <c r="D9">
        <v>652146</v>
      </c>
      <c r="E9">
        <v>95.3</v>
      </c>
      <c r="F9" t="s">
        <v>163</v>
      </c>
      <c r="G9" t="s">
        <v>164</v>
      </c>
    </row>
    <row r="10" spans="1:7" x14ac:dyDescent="0.2">
      <c r="A10" t="s">
        <v>76</v>
      </c>
      <c r="B10">
        <v>5</v>
      </c>
      <c r="C10" t="s">
        <v>172</v>
      </c>
      <c r="D10">
        <v>661894</v>
      </c>
      <c r="E10">
        <v>96.7</v>
      </c>
      <c r="F10" t="s">
        <v>163</v>
      </c>
      <c r="G10" t="s">
        <v>164</v>
      </c>
    </row>
    <row r="11" spans="1:7" x14ac:dyDescent="0.2">
      <c r="A11" t="s">
        <v>76</v>
      </c>
      <c r="B11">
        <v>6</v>
      </c>
      <c r="C11" t="s">
        <v>173</v>
      </c>
      <c r="D11">
        <v>622529</v>
      </c>
      <c r="E11">
        <v>90.9</v>
      </c>
      <c r="F11" t="s">
        <v>163</v>
      </c>
      <c r="G11" t="s">
        <v>164</v>
      </c>
    </row>
    <row r="12" spans="1:7" x14ac:dyDescent="0.2">
      <c r="A12" t="s">
        <v>76</v>
      </c>
      <c r="B12">
        <v>7</v>
      </c>
      <c r="C12" t="s">
        <v>174</v>
      </c>
      <c r="D12">
        <v>622133</v>
      </c>
      <c r="E12">
        <v>90.9</v>
      </c>
      <c r="F12" t="s">
        <v>163</v>
      </c>
      <c r="G12" t="s">
        <v>164</v>
      </c>
    </row>
    <row r="13" spans="1:7" x14ac:dyDescent="0.2">
      <c r="A13" t="s">
        <v>76</v>
      </c>
      <c r="B13">
        <v>8</v>
      </c>
      <c r="C13" t="s">
        <v>177</v>
      </c>
      <c r="D13">
        <v>571209</v>
      </c>
      <c r="E13">
        <v>83.4</v>
      </c>
      <c r="F13" t="s">
        <v>163</v>
      </c>
      <c r="G13" t="s">
        <v>164</v>
      </c>
    </row>
    <row r="14" spans="1:7" x14ac:dyDescent="0.2">
      <c r="A14" t="s">
        <v>76</v>
      </c>
      <c r="B14">
        <v>10</v>
      </c>
      <c r="C14" t="s">
        <v>179</v>
      </c>
      <c r="D14">
        <v>581940</v>
      </c>
      <c r="E14">
        <v>85</v>
      </c>
      <c r="F14" t="s">
        <v>163</v>
      </c>
      <c r="G14" t="s">
        <v>164</v>
      </c>
    </row>
    <row r="15" spans="1:7" x14ac:dyDescent="0.2">
      <c r="A15" t="s">
        <v>76</v>
      </c>
      <c r="B15">
        <v>11</v>
      </c>
      <c r="C15" t="s">
        <v>180</v>
      </c>
      <c r="D15">
        <v>565782</v>
      </c>
      <c r="E15">
        <v>82.7</v>
      </c>
      <c r="F15" t="s">
        <v>163</v>
      </c>
      <c r="G15" t="s">
        <v>164</v>
      </c>
    </row>
    <row r="16" spans="1:7" x14ac:dyDescent="0.2">
      <c r="A16" t="s">
        <v>76</v>
      </c>
      <c r="B16">
        <v>12</v>
      </c>
      <c r="C16" t="s">
        <v>181</v>
      </c>
      <c r="D16">
        <v>581898</v>
      </c>
      <c r="E16">
        <v>85</v>
      </c>
      <c r="F16" t="s">
        <v>163</v>
      </c>
      <c r="G16" t="s">
        <v>164</v>
      </c>
    </row>
    <row r="17" spans="1:7" x14ac:dyDescent="0.2">
      <c r="A17" t="s">
        <v>11</v>
      </c>
      <c r="B17">
        <v>7</v>
      </c>
      <c r="C17" t="s">
        <v>174</v>
      </c>
      <c r="D17">
        <v>170606</v>
      </c>
      <c r="E17">
        <v>55.6</v>
      </c>
      <c r="F17" t="s">
        <v>175</v>
      </c>
      <c r="G17" t="s">
        <v>176</v>
      </c>
    </row>
    <row r="18" spans="1:7" x14ac:dyDescent="0.2">
      <c r="A18" t="s">
        <v>11</v>
      </c>
      <c r="B18">
        <v>8</v>
      </c>
      <c r="C18" t="s">
        <v>177</v>
      </c>
      <c r="D18">
        <v>160156</v>
      </c>
      <c r="E18">
        <v>52.2</v>
      </c>
      <c r="F18" t="s">
        <v>175</v>
      </c>
      <c r="G18" t="s">
        <v>176</v>
      </c>
    </row>
    <row r="19" spans="1:7" x14ac:dyDescent="0.2">
      <c r="A19" t="s">
        <v>11</v>
      </c>
      <c r="B19">
        <v>9</v>
      </c>
      <c r="C19" t="s">
        <v>178</v>
      </c>
      <c r="D19">
        <v>136115</v>
      </c>
      <c r="E19">
        <v>44.3</v>
      </c>
      <c r="F19" t="s">
        <v>175</v>
      </c>
      <c r="G19" t="s">
        <v>176</v>
      </c>
    </row>
    <row r="20" spans="1:7" x14ac:dyDescent="0.2">
      <c r="A20" t="s">
        <v>37</v>
      </c>
      <c r="B20">
        <v>5</v>
      </c>
      <c r="C20" t="s">
        <v>172</v>
      </c>
      <c r="D20">
        <v>50690</v>
      </c>
      <c r="E20">
        <v>51.6</v>
      </c>
      <c r="F20" t="s">
        <v>175</v>
      </c>
      <c r="G20" t="s">
        <v>176</v>
      </c>
    </row>
    <row r="21" spans="1:7" x14ac:dyDescent="0.2">
      <c r="A21" t="s">
        <v>37</v>
      </c>
      <c r="B21">
        <v>6</v>
      </c>
      <c r="C21" t="s">
        <v>173</v>
      </c>
      <c r="D21">
        <v>35746</v>
      </c>
      <c r="E21">
        <v>36.4</v>
      </c>
      <c r="F21" t="s">
        <v>175</v>
      </c>
      <c r="G21" t="s">
        <v>176</v>
      </c>
    </row>
    <row r="22" spans="1:7" x14ac:dyDescent="0.2">
      <c r="A22" t="s">
        <v>37</v>
      </c>
      <c r="B22">
        <v>7</v>
      </c>
      <c r="C22" t="s">
        <v>174</v>
      </c>
      <c r="D22">
        <v>40707</v>
      </c>
      <c r="E22">
        <v>41.4</v>
      </c>
      <c r="F22" t="s">
        <v>175</v>
      </c>
      <c r="G22" t="s">
        <v>176</v>
      </c>
    </row>
    <row r="23" spans="1:7" x14ac:dyDescent="0.2">
      <c r="A23" t="s">
        <v>37</v>
      </c>
      <c r="B23">
        <v>8</v>
      </c>
      <c r="C23" t="s">
        <v>177</v>
      </c>
      <c r="D23">
        <v>35072</v>
      </c>
      <c r="E23">
        <v>35.700000000000003</v>
      </c>
      <c r="F23" t="s">
        <v>175</v>
      </c>
      <c r="G23" t="s">
        <v>176</v>
      </c>
    </row>
    <row r="24" spans="1:7" x14ac:dyDescent="0.2">
      <c r="A24" t="s">
        <v>37</v>
      </c>
      <c r="B24">
        <v>9</v>
      </c>
      <c r="C24" t="s">
        <v>178</v>
      </c>
      <c r="D24">
        <v>44659</v>
      </c>
      <c r="E24">
        <v>45.4</v>
      </c>
      <c r="F24" t="s">
        <v>175</v>
      </c>
      <c r="G24" t="s">
        <v>176</v>
      </c>
    </row>
    <row r="25" spans="1:7" x14ac:dyDescent="0.2">
      <c r="A25" t="s">
        <v>37</v>
      </c>
      <c r="B25">
        <v>11</v>
      </c>
      <c r="C25" t="s">
        <v>180</v>
      </c>
      <c r="D25">
        <v>58666</v>
      </c>
      <c r="E25">
        <v>59.7</v>
      </c>
      <c r="F25" t="s">
        <v>175</v>
      </c>
      <c r="G25" t="s">
        <v>176</v>
      </c>
    </row>
    <row r="26" spans="1:7" x14ac:dyDescent="0.2">
      <c r="A26" t="s">
        <v>11</v>
      </c>
      <c r="B26">
        <v>4</v>
      </c>
      <c r="C26" t="s">
        <v>169</v>
      </c>
      <c r="D26">
        <v>306928</v>
      </c>
      <c r="E26">
        <v>100</v>
      </c>
      <c r="F26" t="s">
        <v>170</v>
      </c>
      <c r="G26" t="s">
        <v>171</v>
      </c>
    </row>
    <row r="27" spans="1:7" x14ac:dyDescent="0.2">
      <c r="A27" t="s">
        <v>37</v>
      </c>
      <c r="B27">
        <v>3</v>
      </c>
      <c r="C27" t="s">
        <v>168</v>
      </c>
      <c r="D27">
        <v>98297</v>
      </c>
      <c r="E27">
        <v>100</v>
      </c>
      <c r="F27" t="s">
        <v>170</v>
      </c>
      <c r="G27" t="s">
        <v>171</v>
      </c>
    </row>
    <row r="28" spans="1:7" x14ac:dyDescent="0.2">
      <c r="A28" t="s">
        <v>76</v>
      </c>
      <c r="B28">
        <v>4</v>
      </c>
      <c r="C28" t="s">
        <v>169</v>
      </c>
      <c r="D28">
        <v>684517</v>
      </c>
      <c r="E28">
        <v>100</v>
      </c>
      <c r="F28" t="s">
        <v>170</v>
      </c>
      <c r="G28" t="s">
        <v>171</v>
      </c>
    </row>
    <row r="29" spans="1:7" x14ac:dyDescent="0.2">
      <c r="A29" t="s">
        <v>11</v>
      </c>
      <c r="B29">
        <v>2</v>
      </c>
      <c r="C29" t="s">
        <v>165</v>
      </c>
      <c r="D29">
        <v>241360</v>
      </c>
      <c r="E29">
        <v>78.599999999999994</v>
      </c>
      <c r="F29" t="s">
        <v>166</v>
      </c>
      <c r="G29" t="s">
        <v>167</v>
      </c>
    </row>
    <row r="30" spans="1:7" x14ac:dyDescent="0.2">
      <c r="A30" t="s">
        <v>11</v>
      </c>
      <c r="B30">
        <v>5</v>
      </c>
      <c r="C30" t="s">
        <v>172</v>
      </c>
      <c r="D30">
        <v>192565</v>
      </c>
      <c r="E30">
        <v>62.7</v>
      </c>
      <c r="F30" t="s">
        <v>166</v>
      </c>
      <c r="G30" t="s">
        <v>167</v>
      </c>
    </row>
    <row r="31" spans="1:7" x14ac:dyDescent="0.2">
      <c r="A31" t="s">
        <v>11</v>
      </c>
      <c r="B31">
        <v>6</v>
      </c>
      <c r="C31" t="s">
        <v>173</v>
      </c>
      <c r="D31">
        <v>184340</v>
      </c>
      <c r="E31">
        <v>60.1</v>
      </c>
      <c r="F31" t="s">
        <v>166</v>
      </c>
      <c r="G31" t="s">
        <v>167</v>
      </c>
    </row>
    <row r="32" spans="1:7" x14ac:dyDescent="0.2">
      <c r="A32" t="s">
        <v>11</v>
      </c>
      <c r="B32">
        <v>10</v>
      </c>
      <c r="C32" t="s">
        <v>179</v>
      </c>
      <c r="D32">
        <v>202668</v>
      </c>
      <c r="E32">
        <v>66</v>
      </c>
      <c r="F32" t="s">
        <v>166</v>
      </c>
      <c r="G32" t="s">
        <v>167</v>
      </c>
    </row>
    <row r="33" spans="1:7" x14ac:dyDescent="0.2">
      <c r="A33" t="s">
        <v>11</v>
      </c>
      <c r="B33">
        <v>11</v>
      </c>
      <c r="C33" t="s">
        <v>180</v>
      </c>
      <c r="D33">
        <v>188611</v>
      </c>
      <c r="E33">
        <v>61.5</v>
      </c>
      <c r="F33" t="s">
        <v>166</v>
      </c>
      <c r="G33" t="s">
        <v>167</v>
      </c>
    </row>
    <row r="34" spans="1:7" x14ac:dyDescent="0.2">
      <c r="A34" t="s">
        <v>11</v>
      </c>
      <c r="B34">
        <v>12</v>
      </c>
      <c r="C34" t="s">
        <v>181</v>
      </c>
      <c r="D34">
        <v>197032</v>
      </c>
      <c r="E34">
        <v>64.2</v>
      </c>
      <c r="F34" t="s">
        <v>166</v>
      </c>
      <c r="G34" t="s">
        <v>167</v>
      </c>
    </row>
    <row r="35" spans="1:7" x14ac:dyDescent="0.2">
      <c r="A35" t="s">
        <v>37</v>
      </c>
      <c r="B35">
        <v>10</v>
      </c>
      <c r="C35" t="s">
        <v>179</v>
      </c>
      <c r="D35">
        <v>60942</v>
      </c>
      <c r="E35">
        <v>62</v>
      </c>
      <c r="F35" t="s">
        <v>166</v>
      </c>
      <c r="G35" t="s">
        <v>167</v>
      </c>
    </row>
    <row r="36" spans="1:7" x14ac:dyDescent="0.2">
      <c r="A36" t="s">
        <v>37</v>
      </c>
      <c r="B36">
        <v>12</v>
      </c>
      <c r="C36" t="s">
        <v>181</v>
      </c>
      <c r="D36">
        <v>71724</v>
      </c>
      <c r="E36">
        <v>73</v>
      </c>
      <c r="F36" t="s">
        <v>166</v>
      </c>
      <c r="G36" t="s">
        <v>167</v>
      </c>
    </row>
    <row r="37" spans="1:7" x14ac:dyDescent="0.2">
      <c r="A37" t="s">
        <v>76</v>
      </c>
      <c r="B37">
        <v>9</v>
      </c>
      <c r="C37" t="s">
        <v>178</v>
      </c>
      <c r="D37">
        <v>537799</v>
      </c>
      <c r="E37">
        <v>78.599999999999994</v>
      </c>
      <c r="F37" t="s">
        <v>166</v>
      </c>
      <c r="G37" t="s">
        <v>167</v>
      </c>
    </row>
  </sheetData>
  <conditionalFormatting sqref="F1:F1048576">
    <cfRule type="containsText" dxfId="8" priority="1" operator="containsText" text="off peak">
      <formula>NOT(ISERROR(SEARCH("off peak",F1)))</formula>
    </cfRule>
    <cfRule type="containsText" dxfId="7" priority="2" operator="containsText" text="shoulder season">
      <formula>NOT(ISERROR(SEARCH("shoulder season",F1)))</formula>
    </cfRule>
    <cfRule type="containsText" dxfId="6" priority="3" operator="containsText" text="high season">
      <formula>NOT(ISERROR(SEARCH("high season",F1)))</formula>
    </cfRule>
    <cfRule type="containsText" dxfId="5" priority="4" operator="containsText" text="peak">
      <formula>NOT(ISERROR(SEARCH("peak",F1)))</formula>
    </cfRule>
  </conditionalFormatting>
  <conditionalFormatting sqref="F2:F3">
    <cfRule type="containsText" dxfId="4" priority="5" operator="containsText" text="peak">
      <formula>NOT(ISERROR(SEARCH("peak",F2)))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9BD05-EBF2-5C46-BDD8-FA1CB6444C11}">
  <sheetPr>
    <tabColor theme="9"/>
  </sheetPr>
  <dimension ref="A1:E29"/>
  <sheetViews>
    <sheetView workbookViewId="0">
      <selection activeCell="D29" sqref="D29"/>
    </sheetView>
  </sheetViews>
  <sheetFormatPr baseColWidth="10" defaultRowHeight="16" x14ac:dyDescent="0.2"/>
  <cols>
    <col min="1" max="1" width="18.6640625" bestFit="1" customWidth="1"/>
    <col min="2" max="2" width="16" bestFit="1" customWidth="1"/>
    <col min="3" max="3" width="11.6640625" bestFit="1" customWidth="1"/>
    <col min="4" max="4" width="8.1640625" bestFit="1" customWidth="1"/>
    <col min="5" max="5" width="10.5" bestFit="1" customWidth="1"/>
  </cols>
  <sheetData>
    <row r="1" spans="1:5" x14ac:dyDescent="0.2">
      <c r="A1" s="1" t="s">
        <v>160</v>
      </c>
      <c r="B1" t="s">
        <v>209</v>
      </c>
    </row>
    <row r="3" spans="1:5" x14ac:dyDescent="0.2">
      <c r="A3" s="1" t="s">
        <v>216</v>
      </c>
      <c r="B3" s="1" t="s">
        <v>215</v>
      </c>
    </row>
    <row r="4" spans="1:5" x14ac:dyDescent="0.2">
      <c r="A4" s="1" t="s">
        <v>207</v>
      </c>
      <c r="B4" t="s">
        <v>11</v>
      </c>
      <c r="C4" t="s">
        <v>37</v>
      </c>
      <c r="D4" t="s">
        <v>76</v>
      </c>
      <c r="E4" t="s">
        <v>208</v>
      </c>
    </row>
    <row r="5" spans="1:5" x14ac:dyDescent="0.2">
      <c r="A5" s="2">
        <v>1</v>
      </c>
      <c r="B5">
        <v>265091</v>
      </c>
      <c r="C5">
        <v>87117</v>
      </c>
      <c r="D5">
        <v>618921</v>
      </c>
      <c r="E5">
        <v>971129</v>
      </c>
    </row>
    <row r="6" spans="1:5" x14ac:dyDescent="0.2">
      <c r="A6" s="3" t="s">
        <v>162</v>
      </c>
      <c r="B6">
        <v>265091</v>
      </c>
      <c r="C6">
        <v>87117</v>
      </c>
      <c r="D6">
        <v>618921</v>
      </c>
      <c r="E6">
        <v>971129</v>
      </c>
    </row>
    <row r="7" spans="1:5" x14ac:dyDescent="0.2">
      <c r="A7" s="2">
        <v>2</v>
      </c>
      <c r="B7">
        <v>241360</v>
      </c>
      <c r="C7">
        <v>84461</v>
      </c>
      <c r="D7">
        <v>579620</v>
      </c>
      <c r="E7">
        <v>905441</v>
      </c>
    </row>
    <row r="8" spans="1:5" x14ac:dyDescent="0.2">
      <c r="A8" s="3" t="s">
        <v>165</v>
      </c>
      <c r="B8">
        <v>241360</v>
      </c>
      <c r="C8">
        <v>84461</v>
      </c>
      <c r="D8">
        <v>579620</v>
      </c>
      <c r="E8">
        <v>905441</v>
      </c>
    </row>
    <row r="9" spans="1:5" x14ac:dyDescent="0.2">
      <c r="A9" s="2">
        <v>3</v>
      </c>
      <c r="B9">
        <v>268402</v>
      </c>
      <c r="C9">
        <v>98297</v>
      </c>
      <c r="D9">
        <v>652146</v>
      </c>
      <c r="E9">
        <v>1018845</v>
      </c>
    </row>
    <row r="10" spans="1:5" x14ac:dyDescent="0.2">
      <c r="A10" s="3" t="s">
        <v>168</v>
      </c>
      <c r="B10">
        <v>268402</v>
      </c>
      <c r="C10">
        <v>98297</v>
      </c>
      <c r="D10">
        <v>652146</v>
      </c>
      <c r="E10">
        <v>1018845</v>
      </c>
    </row>
    <row r="11" spans="1:5" x14ac:dyDescent="0.2">
      <c r="A11" s="2">
        <v>4</v>
      </c>
      <c r="B11">
        <v>306928</v>
      </c>
      <c r="C11">
        <v>82150</v>
      </c>
      <c r="D11">
        <v>684517</v>
      </c>
      <c r="E11">
        <v>1073595</v>
      </c>
    </row>
    <row r="12" spans="1:5" x14ac:dyDescent="0.2">
      <c r="A12" s="3" t="s">
        <v>169</v>
      </c>
      <c r="B12">
        <v>306928</v>
      </c>
      <c r="C12">
        <v>82150</v>
      </c>
      <c r="D12">
        <v>684517</v>
      </c>
      <c r="E12">
        <v>1073595</v>
      </c>
    </row>
    <row r="13" spans="1:5" x14ac:dyDescent="0.2">
      <c r="A13" s="2">
        <v>5</v>
      </c>
      <c r="B13">
        <v>192565</v>
      </c>
      <c r="C13">
        <v>50690</v>
      </c>
      <c r="D13">
        <v>661894</v>
      </c>
      <c r="E13">
        <v>905149</v>
      </c>
    </row>
    <row r="14" spans="1:5" x14ac:dyDescent="0.2">
      <c r="A14" s="3" t="s">
        <v>172</v>
      </c>
      <c r="B14">
        <v>192565</v>
      </c>
      <c r="C14">
        <v>50690</v>
      </c>
      <c r="D14">
        <v>661894</v>
      </c>
      <c r="E14">
        <v>905149</v>
      </c>
    </row>
    <row r="15" spans="1:5" x14ac:dyDescent="0.2">
      <c r="A15" s="2">
        <v>6</v>
      </c>
      <c r="B15">
        <v>184340</v>
      </c>
      <c r="C15">
        <v>35746</v>
      </c>
      <c r="D15">
        <v>622529</v>
      </c>
      <c r="E15">
        <v>842615</v>
      </c>
    </row>
    <row r="16" spans="1:5" x14ac:dyDescent="0.2">
      <c r="A16" s="3" t="s">
        <v>173</v>
      </c>
      <c r="B16">
        <v>184340</v>
      </c>
      <c r="C16">
        <v>35746</v>
      </c>
      <c r="D16">
        <v>622529</v>
      </c>
      <c r="E16">
        <v>842615</v>
      </c>
    </row>
    <row r="17" spans="1:5" x14ac:dyDescent="0.2">
      <c r="A17" s="2">
        <v>7</v>
      </c>
      <c r="B17">
        <v>170606</v>
      </c>
      <c r="C17">
        <v>40707</v>
      </c>
      <c r="D17">
        <v>622133</v>
      </c>
      <c r="E17">
        <v>833446</v>
      </c>
    </row>
    <row r="18" spans="1:5" x14ac:dyDescent="0.2">
      <c r="A18" s="3" t="s">
        <v>174</v>
      </c>
      <c r="B18">
        <v>170606</v>
      </c>
      <c r="C18">
        <v>40707</v>
      </c>
      <c r="D18">
        <v>622133</v>
      </c>
      <c r="E18">
        <v>833446</v>
      </c>
    </row>
    <row r="19" spans="1:5" x14ac:dyDescent="0.2">
      <c r="A19" s="2">
        <v>8</v>
      </c>
      <c r="B19">
        <v>160156</v>
      </c>
      <c r="C19">
        <v>35072</v>
      </c>
      <c r="D19">
        <v>571209</v>
      </c>
      <c r="E19">
        <v>766437</v>
      </c>
    </row>
    <row r="20" spans="1:5" x14ac:dyDescent="0.2">
      <c r="A20" s="3" t="s">
        <v>177</v>
      </c>
      <c r="B20">
        <v>160156</v>
      </c>
      <c r="C20">
        <v>35072</v>
      </c>
      <c r="D20">
        <v>571209</v>
      </c>
      <c r="E20">
        <v>766437</v>
      </c>
    </row>
    <row r="21" spans="1:5" x14ac:dyDescent="0.2">
      <c r="A21" s="2">
        <v>9</v>
      </c>
      <c r="B21">
        <v>136115</v>
      </c>
      <c r="C21">
        <v>44659</v>
      </c>
      <c r="D21">
        <v>537799</v>
      </c>
      <c r="E21">
        <v>718573</v>
      </c>
    </row>
    <row r="22" spans="1:5" x14ac:dyDescent="0.2">
      <c r="A22" s="3" t="s">
        <v>178</v>
      </c>
      <c r="B22">
        <v>136115</v>
      </c>
      <c r="C22">
        <v>44659</v>
      </c>
      <c r="D22">
        <v>537799</v>
      </c>
      <c r="E22">
        <v>718573</v>
      </c>
    </row>
    <row r="23" spans="1:5" x14ac:dyDescent="0.2">
      <c r="A23" s="2">
        <v>10</v>
      </c>
      <c r="B23">
        <v>202668</v>
      </c>
      <c r="C23">
        <v>60942</v>
      </c>
      <c r="D23">
        <v>581940</v>
      </c>
      <c r="E23">
        <v>845550</v>
      </c>
    </row>
    <row r="24" spans="1:5" x14ac:dyDescent="0.2">
      <c r="A24" s="3" t="s">
        <v>179</v>
      </c>
      <c r="B24">
        <v>202668</v>
      </c>
      <c r="C24">
        <v>60942</v>
      </c>
      <c r="D24">
        <v>581940</v>
      </c>
      <c r="E24">
        <v>845550</v>
      </c>
    </row>
    <row r="25" spans="1:5" x14ac:dyDescent="0.2">
      <c r="A25" s="2">
        <v>11</v>
      </c>
      <c r="B25">
        <v>188611</v>
      </c>
      <c r="C25">
        <v>58666</v>
      </c>
      <c r="D25">
        <v>565782</v>
      </c>
      <c r="E25">
        <v>813059</v>
      </c>
    </row>
    <row r="26" spans="1:5" x14ac:dyDescent="0.2">
      <c r="A26" s="3" t="s">
        <v>180</v>
      </c>
      <c r="B26">
        <v>188611</v>
      </c>
      <c r="C26">
        <v>58666</v>
      </c>
      <c r="D26">
        <v>565782</v>
      </c>
      <c r="E26">
        <v>813059</v>
      </c>
    </row>
    <row r="27" spans="1:5" x14ac:dyDescent="0.2">
      <c r="A27" s="2">
        <v>12</v>
      </c>
      <c r="B27">
        <v>197032</v>
      </c>
      <c r="C27">
        <v>71724</v>
      </c>
      <c r="D27">
        <v>581898</v>
      </c>
      <c r="E27">
        <v>850654</v>
      </c>
    </row>
    <row r="28" spans="1:5" x14ac:dyDescent="0.2">
      <c r="A28" s="3" t="s">
        <v>181</v>
      </c>
      <c r="B28">
        <v>197032</v>
      </c>
      <c r="C28">
        <v>71724</v>
      </c>
      <c r="D28">
        <v>581898</v>
      </c>
      <c r="E28">
        <v>850654</v>
      </c>
    </row>
    <row r="29" spans="1:5" x14ac:dyDescent="0.2">
      <c r="A29" s="2" t="s">
        <v>208</v>
      </c>
      <c r="B29">
        <v>2513874</v>
      </c>
      <c r="C29">
        <v>750231</v>
      </c>
      <c r="D29">
        <v>7280388</v>
      </c>
      <c r="E29">
        <v>10544493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50DA-984F-8944-A25D-164F6B1460F6}">
  <sheetPr>
    <tabColor theme="5"/>
  </sheetPr>
  <dimension ref="A1:K176"/>
  <sheetViews>
    <sheetView workbookViewId="0">
      <selection activeCell="J13" sqref="J13"/>
    </sheetView>
  </sheetViews>
  <sheetFormatPr baseColWidth="10" defaultRowHeight="16" x14ac:dyDescent="0.2"/>
  <cols>
    <col min="1" max="1" width="11.5" bestFit="1" customWidth="1"/>
    <col min="2" max="2" width="14.1640625" bestFit="1" customWidth="1"/>
    <col min="3" max="3" width="19" bestFit="1" customWidth="1"/>
    <col min="4" max="4" width="16.6640625" bestFit="1" customWidth="1"/>
    <col min="5" max="5" width="18.83203125" bestFit="1" customWidth="1"/>
    <col min="6" max="6" width="15.83203125" bestFit="1" customWidth="1"/>
    <col min="7" max="7" width="13.5" bestFit="1" customWidth="1"/>
    <col min="8" max="8" width="16.1640625" bestFit="1" customWidth="1"/>
    <col min="9" max="9" width="12.1640625" bestFit="1" customWidth="1"/>
    <col min="10" max="10" width="11.5" bestFit="1" customWidth="1"/>
    <col min="11" max="11" width="14.33203125" bestFit="1" customWidth="1"/>
  </cols>
  <sheetData>
    <row r="1" spans="1:11" x14ac:dyDescent="0.2">
      <c r="A1" t="s">
        <v>0</v>
      </c>
      <c r="B1" t="s">
        <v>182</v>
      </c>
      <c r="C1" t="s">
        <v>183</v>
      </c>
      <c r="D1" t="s">
        <v>184</v>
      </c>
      <c r="E1" t="s">
        <v>185</v>
      </c>
      <c r="F1" t="s">
        <v>186</v>
      </c>
      <c r="G1" t="s">
        <v>187</v>
      </c>
      <c r="H1" t="s">
        <v>4</v>
      </c>
      <c r="I1" t="s">
        <v>7</v>
      </c>
      <c r="J1" t="s">
        <v>5</v>
      </c>
      <c r="K1" t="s">
        <v>188</v>
      </c>
    </row>
    <row r="2" spans="1:11" x14ac:dyDescent="0.2">
      <c r="A2" t="s">
        <v>37</v>
      </c>
      <c r="B2" t="s">
        <v>189</v>
      </c>
      <c r="C2" t="s">
        <v>190</v>
      </c>
      <c r="D2">
        <v>10</v>
      </c>
      <c r="E2">
        <v>5</v>
      </c>
      <c r="F2">
        <v>5</v>
      </c>
      <c r="G2">
        <v>5</v>
      </c>
      <c r="H2">
        <v>0.55800000000000005</v>
      </c>
      <c r="I2">
        <v>4.96</v>
      </c>
      <c r="J2">
        <v>579.75</v>
      </c>
      <c r="K2">
        <v>6</v>
      </c>
    </row>
    <row r="3" spans="1:11" x14ac:dyDescent="0.2">
      <c r="A3" t="s">
        <v>37</v>
      </c>
      <c r="B3" t="s">
        <v>191</v>
      </c>
      <c r="C3" t="s">
        <v>192</v>
      </c>
      <c r="D3">
        <v>3</v>
      </c>
      <c r="E3">
        <v>5</v>
      </c>
      <c r="F3">
        <v>5</v>
      </c>
      <c r="G3">
        <v>5</v>
      </c>
      <c r="H3">
        <v>0.51639999999999997</v>
      </c>
      <c r="I3">
        <v>4.88</v>
      </c>
      <c r="J3">
        <v>193.06</v>
      </c>
      <c r="K3">
        <v>6</v>
      </c>
    </row>
    <row r="4" spans="1:11" x14ac:dyDescent="0.2">
      <c r="A4" t="s">
        <v>37</v>
      </c>
      <c r="B4" t="s">
        <v>193</v>
      </c>
      <c r="C4" t="s">
        <v>190</v>
      </c>
      <c r="D4">
        <v>2</v>
      </c>
      <c r="E4">
        <v>5</v>
      </c>
      <c r="F4">
        <v>5</v>
      </c>
      <c r="G4">
        <v>5</v>
      </c>
      <c r="H4">
        <v>0.51019999999999999</v>
      </c>
      <c r="I4">
        <v>4.9000000000000004</v>
      </c>
      <c r="J4">
        <v>159.74</v>
      </c>
      <c r="K4">
        <v>117</v>
      </c>
    </row>
    <row r="5" spans="1:11" x14ac:dyDescent="0.2">
      <c r="A5" t="s">
        <v>37</v>
      </c>
      <c r="B5" t="s">
        <v>191</v>
      </c>
      <c r="C5" t="s">
        <v>190</v>
      </c>
      <c r="D5">
        <v>3</v>
      </c>
      <c r="E5">
        <v>5</v>
      </c>
      <c r="F5">
        <v>5</v>
      </c>
      <c r="G5">
        <v>5</v>
      </c>
      <c r="H5">
        <v>0.49719999999999998</v>
      </c>
      <c r="I5">
        <v>4.88</v>
      </c>
      <c r="J5">
        <v>218.28</v>
      </c>
      <c r="K5">
        <v>15</v>
      </c>
    </row>
    <row r="6" spans="1:11" x14ac:dyDescent="0.2">
      <c r="A6" t="s">
        <v>37</v>
      </c>
      <c r="B6" t="s">
        <v>193</v>
      </c>
      <c r="C6" t="s">
        <v>192</v>
      </c>
      <c r="D6">
        <v>2</v>
      </c>
      <c r="E6">
        <v>5</v>
      </c>
      <c r="F6">
        <v>4</v>
      </c>
      <c r="G6">
        <v>5</v>
      </c>
      <c r="H6">
        <v>0.48089999999999999</v>
      </c>
      <c r="I6">
        <v>4.6399999999999997</v>
      </c>
      <c r="J6">
        <v>111.37</v>
      </c>
      <c r="K6">
        <v>17</v>
      </c>
    </row>
    <row r="7" spans="1:11" x14ac:dyDescent="0.2">
      <c r="A7" t="s">
        <v>37</v>
      </c>
      <c r="B7" t="s">
        <v>191</v>
      </c>
      <c r="C7" t="s">
        <v>192</v>
      </c>
      <c r="D7">
        <v>14</v>
      </c>
      <c r="E7">
        <v>5</v>
      </c>
      <c r="F7">
        <v>5</v>
      </c>
      <c r="G7">
        <v>5</v>
      </c>
      <c r="H7">
        <v>0.47989999999999999</v>
      </c>
      <c r="I7">
        <v>4.7699999999999996</v>
      </c>
      <c r="J7">
        <v>543.95000000000005</v>
      </c>
      <c r="K7">
        <v>6</v>
      </c>
    </row>
    <row r="8" spans="1:11" x14ac:dyDescent="0.2">
      <c r="A8" t="s">
        <v>37</v>
      </c>
      <c r="B8" t="s">
        <v>191</v>
      </c>
      <c r="C8" t="s">
        <v>190</v>
      </c>
      <c r="D8">
        <v>2</v>
      </c>
      <c r="E8">
        <v>5</v>
      </c>
      <c r="F8">
        <v>5</v>
      </c>
      <c r="G8">
        <v>5</v>
      </c>
      <c r="H8">
        <v>0.4703</v>
      </c>
      <c r="I8">
        <v>4.91</v>
      </c>
      <c r="J8">
        <v>194.37</v>
      </c>
      <c r="K8">
        <v>377</v>
      </c>
    </row>
    <row r="9" spans="1:11" x14ac:dyDescent="0.2">
      <c r="A9" t="s">
        <v>37</v>
      </c>
      <c r="B9" t="s">
        <v>191</v>
      </c>
      <c r="C9" t="s">
        <v>192</v>
      </c>
      <c r="D9">
        <v>2</v>
      </c>
      <c r="E9">
        <v>5</v>
      </c>
      <c r="F9">
        <v>5</v>
      </c>
      <c r="G9">
        <v>5</v>
      </c>
      <c r="H9">
        <v>0.43980000000000002</v>
      </c>
      <c r="I9">
        <v>4.8499999999999996</v>
      </c>
      <c r="J9">
        <v>196.85</v>
      </c>
      <c r="K9">
        <v>130</v>
      </c>
    </row>
    <row r="10" spans="1:11" x14ac:dyDescent="0.2">
      <c r="A10" t="s">
        <v>37</v>
      </c>
      <c r="B10" t="s">
        <v>193</v>
      </c>
      <c r="C10" t="s">
        <v>190</v>
      </c>
      <c r="D10">
        <v>4</v>
      </c>
      <c r="E10">
        <v>5</v>
      </c>
      <c r="F10">
        <v>5</v>
      </c>
      <c r="G10">
        <v>5</v>
      </c>
      <c r="H10">
        <v>0.43759999999999999</v>
      </c>
      <c r="I10">
        <v>4.9000000000000004</v>
      </c>
      <c r="J10">
        <v>243.1</v>
      </c>
      <c r="K10">
        <v>29</v>
      </c>
    </row>
    <row r="11" spans="1:11" x14ac:dyDescent="0.2">
      <c r="A11" t="s">
        <v>37</v>
      </c>
      <c r="B11" t="s">
        <v>191</v>
      </c>
      <c r="C11" t="s">
        <v>192</v>
      </c>
      <c r="D11">
        <v>5</v>
      </c>
      <c r="E11">
        <v>5</v>
      </c>
      <c r="F11">
        <v>5</v>
      </c>
      <c r="G11">
        <v>5</v>
      </c>
      <c r="H11">
        <v>0.43419999999999997</v>
      </c>
      <c r="I11">
        <v>4.79</v>
      </c>
      <c r="J11">
        <v>295.75</v>
      </c>
      <c r="K11">
        <v>15</v>
      </c>
    </row>
    <row r="12" spans="1:11" x14ac:dyDescent="0.2">
      <c r="A12" t="s">
        <v>37</v>
      </c>
      <c r="B12" t="s">
        <v>191</v>
      </c>
      <c r="C12" t="s">
        <v>192</v>
      </c>
      <c r="D12">
        <v>2</v>
      </c>
      <c r="E12">
        <v>5</v>
      </c>
      <c r="F12">
        <v>4</v>
      </c>
      <c r="G12">
        <v>5</v>
      </c>
      <c r="H12">
        <v>0.43140000000000001</v>
      </c>
      <c r="I12">
        <v>4.7300000000000004</v>
      </c>
      <c r="J12">
        <v>149.85</v>
      </c>
      <c r="K12">
        <v>15</v>
      </c>
    </row>
    <row r="13" spans="1:11" x14ac:dyDescent="0.2">
      <c r="A13" t="s">
        <v>37</v>
      </c>
      <c r="B13" t="s">
        <v>193</v>
      </c>
      <c r="C13" t="s">
        <v>13</v>
      </c>
      <c r="D13">
        <v>2</v>
      </c>
      <c r="E13">
        <v>5</v>
      </c>
      <c r="F13">
        <v>5</v>
      </c>
      <c r="G13">
        <v>5</v>
      </c>
      <c r="H13">
        <v>0.42359999999999998</v>
      </c>
      <c r="I13">
        <v>4.82</v>
      </c>
      <c r="J13">
        <v>174.62</v>
      </c>
      <c r="K13">
        <v>15</v>
      </c>
    </row>
    <row r="14" spans="1:11" x14ac:dyDescent="0.2">
      <c r="A14" t="s">
        <v>37</v>
      </c>
      <c r="B14" t="s">
        <v>191</v>
      </c>
      <c r="C14" t="s">
        <v>190</v>
      </c>
      <c r="D14">
        <v>4</v>
      </c>
      <c r="E14">
        <v>5</v>
      </c>
      <c r="F14">
        <v>5</v>
      </c>
      <c r="G14">
        <v>5</v>
      </c>
      <c r="H14">
        <v>0.42</v>
      </c>
      <c r="I14">
        <v>4.9000000000000004</v>
      </c>
      <c r="J14">
        <v>288.39</v>
      </c>
      <c r="K14">
        <v>579</v>
      </c>
    </row>
    <row r="15" spans="1:11" x14ac:dyDescent="0.2">
      <c r="A15" t="s">
        <v>37</v>
      </c>
      <c r="B15" t="s">
        <v>191</v>
      </c>
      <c r="C15" t="s">
        <v>190</v>
      </c>
      <c r="D15">
        <v>5</v>
      </c>
      <c r="E15">
        <v>5</v>
      </c>
      <c r="F15">
        <v>5</v>
      </c>
      <c r="G15">
        <v>5</v>
      </c>
      <c r="H15">
        <v>0.41970000000000002</v>
      </c>
      <c r="I15">
        <v>4.9400000000000004</v>
      </c>
      <c r="J15">
        <v>326.07</v>
      </c>
      <c r="K15">
        <v>16</v>
      </c>
    </row>
    <row r="16" spans="1:11" x14ac:dyDescent="0.2">
      <c r="A16" t="s">
        <v>37</v>
      </c>
      <c r="B16" t="s">
        <v>191</v>
      </c>
      <c r="C16" t="s">
        <v>192</v>
      </c>
      <c r="D16">
        <v>10</v>
      </c>
      <c r="E16">
        <v>4</v>
      </c>
      <c r="F16">
        <v>5</v>
      </c>
      <c r="G16">
        <v>4</v>
      </c>
      <c r="H16">
        <v>0.40489999999999998</v>
      </c>
      <c r="I16">
        <v>4.55</v>
      </c>
      <c r="J16">
        <v>476.1</v>
      </c>
      <c r="K16">
        <v>5</v>
      </c>
    </row>
    <row r="17" spans="1:11" x14ac:dyDescent="0.2">
      <c r="A17" t="s">
        <v>37</v>
      </c>
      <c r="B17" t="s">
        <v>191</v>
      </c>
      <c r="C17" t="s">
        <v>192</v>
      </c>
      <c r="D17">
        <v>10</v>
      </c>
      <c r="E17">
        <v>5</v>
      </c>
      <c r="F17">
        <v>5</v>
      </c>
      <c r="G17">
        <v>5</v>
      </c>
      <c r="H17">
        <v>0.379</v>
      </c>
      <c r="I17">
        <v>4.8499999999999996</v>
      </c>
      <c r="J17">
        <v>586.65</v>
      </c>
      <c r="K17">
        <v>41</v>
      </c>
    </row>
    <row r="18" spans="1:11" x14ac:dyDescent="0.2">
      <c r="A18" t="s">
        <v>37</v>
      </c>
      <c r="B18" t="s">
        <v>191</v>
      </c>
      <c r="C18" t="s">
        <v>192</v>
      </c>
      <c r="D18">
        <v>4</v>
      </c>
      <c r="E18">
        <v>5</v>
      </c>
      <c r="F18">
        <v>5</v>
      </c>
      <c r="G18">
        <v>5</v>
      </c>
      <c r="H18">
        <v>0.36840000000000001</v>
      </c>
      <c r="I18">
        <v>4.78</v>
      </c>
      <c r="J18">
        <v>268.43</v>
      </c>
      <c r="K18">
        <v>237</v>
      </c>
    </row>
    <row r="19" spans="1:11" x14ac:dyDescent="0.2">
      <c r="A19" t="s">
        <v>37</v>
      </c>
      <c r="B19" t="s">
        <v>193</v>
      </c>
      <c r="C19" t="s">
        <v>192</v>
      </c>
      <c r="D19">
        <v>2</v>
      </c>
      <c r="E19">
        <v>5</v>
      </c>
      <c r="F19">
        <v>5</v>
      </c>
      <c r="G19">
        <v>5</v>
      </c>
      <c r="H19">
        <v>0.36749999999999999</v>
      </c>
      <c r="I19">
        <v>4.8099999999999996</v>
      </c>
      <c r="J19">
        <v>190.63</v>
      </c>
      <c r="K19">
        <v>62</v>
      </c>
    </row>
    <row r="20" spans="1:11" x14ac:dyDescent="0.2">
      <c r="A20" t="s">
        <v>37</v>
      </c>
      <c r="B20" t="s">
        <v>191</v>
      </c>
      <c r="C20" t="s">
        <v>192</v>
      </c>
      <c r="D20">
        <v>6</v>
      </c>
      <c r="E20">
        <v>5</v>
      </c>
      <c r="F20">
        <v>5</v>
      </c>
      <c r="G20">
        <v>5</v>
      </c>
      <c r="H20">
        <v>0.36049999999999999</v>
      </c>
      <c r="I20">
        <v>4.8099999999999996</v>
      </c>
      <c r="J20">
        <v>350</v>
      </c>
      <c r="K20">
        <v>172</v>
      </c>
    </row>
    <row r="21" spans="1:11" x14ac:dyDescent="0.2">
      <c r="A21" t="s">
        <v>37</v>
      </c>
      <c r="B21" t="s">
        <v>191</v>
      </c>
      <c r="C21" t="s">
        <v>190</v>
      </c>
      <c r="D21">
        <v>2</v>
      </c>
      <c r="E21">
        <v>5</v>
      </c>
      <c r="F21">
        <v>4</v>
      </c>
      <c r="G21">
        <v>5</v>
      </c>
      <c r="H21">
        <v>0.3553</v>
      </c>
      <c r="I21">
        <v>4.7699999999999996</v>
      </c>
      <c r="J21">
        <v>168.07</v>
      </c>
      <c r="K21">
        <v>13</v>
      </c>
    </row>
    <row r="22" spans="1:11" x14ac:dyDescent="0.2">
      <c r="A22" t="s">
        <v>37</v>
      </c>
      <c r="B22" t="s">
        <v>191</v>
      </c>
      <c r="C22" t="s">
        <v>190</v>
      </c>
      <c r="D22">
        <v>6</v>
      </c>
      <c r="E22">
        <v>5</v>
      </c>
      <c r="F22">
        <v>5</v>
      </c>
      <c r="G22">
        <v>5</v>
      </c>
      <c r="H22">
        <v>0.35339999999999999</v>
      </c>
      <c r="I22">
        <v>4.9000000000000004</v>
      </c>
      <c r="J22">
        <v>407.64</v>
      </c>
      <c r="K22">
        <v>389</v>
      </c>
    </row>
    <row r="23" spans="1:11" x14ac:dyDescent="0.2">
      <c r="A23" t="s">
        <v>37</v>
      </c>
      <c r="B23" t="s">
        <v>191</v>
      </c>
      <c r="C23" t="s">
        <v>192</v>
      </c>
      <c r="D23">
        <v>6</v>
      </c>
      <c r="E23">
        <v>5</v>
      </c>
      <c r="F23">
        <v>4</v>
      </c>
      <c r="G23">
        <v>5</v>
      </c>
      <c r="H23">
        <v>0.35270000000000001</v>
      </c>
      <c r="I23">
        <v>4.7699999999999996</v>
      </c>
      <c r="J23">
        <v>300.92</v>
      </c>
      <c r="K23">
        <v>44</v>
      </c>
    </row>
    <row r="24" spans="1:11" x14ac:dyDescent="0.2">
      <c r="A24" t="s">
        <v>37</v>
      </c>
      <c r="B24" t="s">
        <v>191</v>
      </c>
      <c r="C24" t="s">
        <v>190</v>
      </c>
      <c r="D24">
        <v>6</v>
      </c>
      <c r="E24">
        <v>5</v>
      </c>
      <c r="F24">
        <v>4</v>
      </c>
      <c r="G24">
        <v>5</v>
      </c>
      <c r="H24">
        <v>0.3493</v>
      </c>
      <c r="I24">
        <v>4.82</v>
      </c>
      <c r="J24">
        <v>322.8</v>
      </c>
      <c r="K24">
        <v>43</v>
      </c>
    </row>
    <row r="25" spans="1:11" x14ac:dyDescent="0.2">
      <c r="A25" t="s">
        <v>37</v>
      </c>
      <c r="B25" t="s">
        <v>193</v>
      </c>
      <c r="C25" t="s">
        <v>190</v>
      </c>
      <c r="D25">
        <v>5</v>
      </c>
      <c r="E25">
        <v>5</v>
      </c>
      <c r="F25">
        <v>5</v>
      </c>
      <c r="G25">
        <v>5</v>
      </c>
      <c r="H25">
        <v>0.34300000000000003</v>
      </c>
      <c r="I25">
        <v>4.8600000000000003</v>
      </c>
      <c r="J25">
        <v>305.25</v>
      </c>
      <c r="K25">
        <v>5</v>
      </c>
    </row>
    <row r="26" spans="1:11" x14ac:dyDescent="0.2">
      <c r="A26" t="s">
        <v>37</v>
      </c>
      <c r="B26" t="s">
        <v>191</v>
      </c>
      <c r="C26" t="s">
        <v>190</v>
      </c>
      <c r="D26">
        <v>4</v>
      </c>
      <c r="E26">
        <v>5</v>
      </c>
      <c r="F26">
        <v>4</v>
      </c>
      <c r="G26">
        <v>5</v>
      </c>
      <c r="H26">
        <v>0.3422</v>
      </c>
      <c r="I26">
        <v>4.82</v>
      </c>
      <c r="J26">
        <v>247.45</v>
      </c>
      <c r="K26">
        <v>31</v>
      </c>
    </row>
    <row r="27" spans="1:11" x14ac:dyDescent="0.2">
      <c r="A27" t="s">
        <v>37</v>
      </c>
      <c r="B27" t="s">
        <v>191</v>
      </c>
      <c r="C27" t="s">
        <v>192</v>
      </c>
      <c r="D27">
        <v>7</v>
      </c>
      <c r="E27">
        <v>5</v>
      </c>
      <c r="F27">
        <v>5</v>
      </c>
      <c r="G27">
        <v>5</v>
      </c>
      <c r="H27">
        <v>0.3402</v>
      </c>
      <c r="I27">
        <v>4.72</v>
      </c>
      <c r="J27">
        <v>256.18</v>
      </c>
      <c r="K27">
        <v>6</v>
      </c>
    </row>
    <row r="28" spans="1:11" x14ac:dyDescent="0.2">
      <c r="A28" t="s">
        <v>37</v>
      </c>
      <c r="B28" t="s">
        <v>193</v>
      </c>
      <c r="C28" t="s">
        <v>192</v>
      </c>
      <c r="D28">
        <v>4</v>
      </c>
      <c r="E28">
        <v>5</v>
      </c>
      <c r="F28">
        <v>5</v>
      </c>
      <c r="G28">
        <v>5</v>
      </c>
      <c r="H28">
        <v>0.3362</v>
      </c>
      <c r="I28">
        <v>4.82</v>
      </c>
      <c r="J28">
        <v>268.19</v>
      </c>
      <c r="K28">
        <v>40</v>
      </c>
    </row>
    <row r="29" spans="1:11" x14ac:dyDescent="0.2">
      <c r="A29" t="s">
        <v>37</v>
      </c>
      <c r="B29" t="s">
        <v>191</v>
      </c>
      <c r="C29" t="s">
        <v>192</v>
      </c>
      <c r="D29">
        <v>4</v>
      </c>
      <c r="E29">
        <v>5</v>
      </c>
      <c r="F29">
        <v>4</v>
      </c>
      <c r="G29">
        <v>4</v>
      </c>
      <c r="H29">
        <v>0.32819999999999999</v>
      </c>
      <c r="I29">
        <v>4.41</v>
      </c>
      <c r="J29">
        <v>190.2</v>
      </c>
      <c r="K29">
        <v>14</v>
      </c>
    </row>
    <row r="30" spans="1:11" x14ac:dyDescent="0.2">
      <c r="A30" t="s">
        <v>37</v>
      </c>
      <c r="B30" t="s">
        <v>191</v>
      </c>
      <c r="C30" t="s">
        <v>192</v>
      </c>
      <c r="D30">
        <v>16</v>
      </c>
      <c r="E30">
        <v>5</v>
      </c>
      <c r="F30">
        <v>5</v>
      </c>
      <c r="G30">
        <v>5</v>
      </c>
      <c r="H30">
        <v>0.31919999999999998</v>
      </c>
      <c r="I30">
        <v>4.8899999999999997</v>
      </c>
      <c r="J30">
        <v>1210.0999999999999</v>
      </c>
      <c r="K30">
        <v>12</v>
      </c>
    </row>
    <row r="31" spans="1:11" x14ac:dyDescent="0.2">
      <c r="A31" t="s">
        <v>37</v>
      </c>
      <c r="B31" t="s">
        <v>193</v>
      </c>
      <c r="C31" t="s">
        <v>192</v>
      </c>
      <c r="D31">
        <v>4</v>
      </c>
      <c r="E31">
        <v>4</v>
      </c>
      <c r="F31">
        <v>4</v>
      </c>
      <c r="G31">
        <v>4</v>
      </c>
      <c r="H31">
        <v>0.31019999999999998</v>
      </c>
      <c r="I31">
        <v>4.09</v>
      </c>
      <c r="J31">
        <v>180.52</v>
      </c>
      <c r="K31">
        <v>5</v>
      </c>
    </row>
    <row r="32" spans="1:11" x14ac:dyDescent="0.2">
      <c r="A32" t="s">
        <v>37</v>
      </c>
      <c r="B32" t="s">
        <v>193</v>
      </c>
      <c r="C32" t="s">
        <v>190</v>
      </c>
      <c r="D32">
        <v>3</v>
      </c>
      <c r="E32">
        <v>5</v>
      </c>
      <c r="F32">
        <v>5</v>
      </c>
      <c r="G32">
        <v>5</v>
      </c>
      <c r="H32">
        <v>0.30280000000000001</v>
      </c>
      <c r="I32">
        <v>4.8899999999999997</v>
      </c>
      <c r="J32">
        <v>238.22</v>
      </c>
      <c r="K32">
        <v>10</v>
      </c>
    </row>
    <row r="33" spans="1:11" x14ac:dyDescent="0.2">
      <c r="A33" t="s">
        <v>37</v>
      </c>
      <c r="B33" t="s">
        <v>191</v>
      </c>
      <c r="C33" t="s">
        <v>190</v>
      </c>
      <c r="D33">
        <v>6</v>
      </c>
      <c r="E33">
        <v>5</v>
      </c>
      <c r="F33">
        <v>5</v>
      </c>
      <c r="G33">
        <v>4</v>
      </c>
      <c r="H33">
        <v>0.28260000000000002</v>
      </c>
      <c r="I33">
        <v>4.6100000000000003</v>
      </c>
      <c r="J33">
        <v>310.68</v>
      </c>
      <c r="K33">
        <v>6</v>
      </c>
    </row>
    <row r="34" spans="1:11" x14ac:dyDescent="0.2">
      <c r="A34" t="s">
        <v>37</v>
      </c>
      <c r="B34" t="s">
        <v>191</v>
      </c>
      <c r="C34" t="s">
        <v>192</v>
      </c>
      <c r="D34">
        <v>8</v>
      </c>
      <c r="E34">
        <v>5</v>
      </c>
      <c r="F34">
        <v>5</v>
      </c>
      <c r="G34">
        <v>5</v>
      </c>
      <c r="H34">
        <v>0.25769999999999998</v>
      </c>
      <c r="I34">
        <v>4.8099999999999996</v>
      </c>
      <c r="J34">
        <v>373.82</v>
      </c>
      <c r="K34">
        <v>45</v>
      </c>
    </row>
    <row r="35" spans="1:11" x14ac:dyDescent="0.2">
      <c r="A35" t="s">
        <v>37</v>
      </c>
      <c r="B35" t="s">
        <v>189</v>
      </c>
      <c r="C35" t="s">
        <v>192</v>
      </c>
      <c r="D35">
        <v>3</v>
      </c>
      <c r="E35">
        <v>5</v>
      </c>
      <c r="F35">
        <v>5</v>
      </c>
      <c r="G35">
        <v>5</v>
      </c>
      <c r="H35">
        <v>0.25750000000000001</v>
      </c>
      <c r="I35">
        <v>4.58</v>
      </c>
      <c r="J35">
        <v>198.6</v>
      </c>
      <c r="K35">
        <v>5</v>
      </c>
    </row>
    <row r="36" spans="1:11" x14ac:dyDescent="0.2">
      <c r="A36" t="s">
        <v>37</v>
      </c>
      <c r="B36" t="s">
        <v>191</v>
      </c>
      <c r="C36" t="s">
        <v>190</v>
      </c>
      <c r="D36">
        <v>12</v>
      </c>
      <c r="E36">
        <v>5</v>
      </c>
      <c r="F36">
        <v>5</v>
      </c>
      <c r="G36">
        <v>5</v>
      </c>
      <c r="H36">
        <v>0.25750000000000001</v>
      </c>
      <c r="I36">
        <v>4.92</v>
      </c>
      <c r="J36">
        <v>657.42</v>
      </c>
      <c r="K36">
        <v>25</v>
      </c>
    </row>
    <row r="37" spans="1:11" x14ac:dyDescent="0.2">
      <c r="A37" t="s">
        <v>37</v>
      </c>
      <c r="B37" t="s">
        <v>191</v>
      </c>
      <c r="C37" t="s">
        <v>192</v>
      </c>
      <c r="D37">
        <v>6</v>
      </c>
      <c r="E37">
        <v>4</v>
      </c>
      <c r="F37">
        <v>5</v>
      </c>
      <c r="G37">
        <v>4</v>
      </c>
      <c r="H37">
        <v>0.25650000000000001</v>
      </c>
      <c r="I37">
        <v>4.37</v>
      </c>
      <c r="J37">
        <v>351.18</v>
      </c>
      <c r="K37">
        <v>16</v>
      </c>
    </row>
    <row r="38" spans="1:11" x14ac:dyDescent="0.2">
      <c r="A38" t="s">
        <v>37</v>
      </c>
      <c r="B38" t="s">
        <v>191</v>
      </c>
      <c r="C38" t="s">
        <v>192</v>
      </c>
      <c r="D38">
        <v>4</v>
      </c>
      <c r="E38">
        <v>5</v>
      </c>
      <c r="F38">
        <v>4</v>
      </c>
      <c r="G38">
        <v>5</v>
      </c>
      <c r="H38">
        <v>0.25430000000000003</v>
      </c>
      <c r="I38">
        <v>4.66</v>
      </c>
      <c r="J38">
        <v>216.49</v>
      </c>
      <c r="K38">
        <v>20</v>
      </c>
    </row>
    <row r="39" spans="1:11" x14ac:dyDescent="0.2">
      <c r="A39" t="s">
        <v>37</v>
      </c>
      <c r="B39" t="s">
        <v>193</v>
      </c>
      <c r="C39" t="s">
        <v>190</v>
      </c>
      <c r="D39">
        <v>12</v>
      </c>
      <c r="E39">
        <v>5</v>
      </c>
      <c r="F39">
        <v>5</v>
      </c>
      <c r="G39">
        <v>5</v>
      </c>
      <c r="H39">
        <v>0.25280000000000002</v>
      </c>
      <c r="I39">
        <v>4.93</v>
      </c>
      <c r="J39">
        <v>809.36</v>
      </c>
      <c r="K39">
        <v>19</v>
      </c>
    </row>
    <row r="40" spans="1:11" x14ac:dyDescent="0.2">
      <c r="A40" t="s">
        <v>37</v>
      </c>
      <c r="B40" t="s">
        <v>191</v>
      </c>
      <c r="C40" t="s">
        <v>190</v>
      </c>
      <c r="D40">
        <v>16</v>
      </c>
      <c r="E40">
        <v>5</v>
      </c>
      <c r="F40">
        <v>5</v>
      </c>
      <c r="G40">
        <v>5</v>
      </c>
      <c r="H40">
        <v>0.25209999999999999</v>
      </c>
      <c r="I40">
        <v>4.93</v>
      </c>
      <c r="J40">
        <v>1302.95</v>
      </c>
      <c r="K40">
        <v>52</v>
      </c>
    </row>
    <row r="41" spans="1:11" x14ac:dyDescent="0.2">
      <c r="A41" t="s">
        <v>37</v>
      </c>
      <c r="B41" t="s">
        <v>191</v>
      </c>
      <c r="C41" t="s">
        <v>190</v>
      </c>
      <c r="D41">
        <v>8</v>
      </c>
      <c r="E41">
        <v>5</v>
      </c>
      <c r="F41">
        <v>5</v>
      </c>
      <c r="G41">
        <v>5</v>
      </c>
      <c r="H41">
        <v>0.252</v>
      </c>
      <c r="I41">
        <v>4.92</v>
      </c>
      <c r="J41">
        <v>499.02</v>
      </c>
      <c r="K41">
        <v>91</v>
      </c>
    </row>
    <row r="42" spans="1:11" x14ac:dyDescent="0.2">
      <c r="A42" t="s">
        <v>37</v>
      </c>
      <c r="B42" t="s">
        <v>193</v>
      </c>
      <c r="C42" t="s">
        <v>192</v>
      </c>
      <c r="D42">
        <v>2</v>
      </c>
      <c r="E42">
        <v>5</v>
      </c>
      <c r="F42">
        <v>4</v>
      </c>
      <c r="G42">
        <v>4</v>
      </c>
      <c r="H42">
        <v>0.24340000000000001</v>
      </c>
      <c r="I42">
        <v>4.26</v>
      </c>
      <c r="J42">
        <v>164.17</v>
      </c>
      <c r="K42">
        <v>6</v>
      </c>
    </row>
    <row r="43" spans="1:11" x14ac:dyDescent="0.2">
      <c r="A43" t="s">
        <v>37</v>
      </c>
      <c r="B43" t="s">
        <v>191</v>
      </c>
      <c r="C43" t="s">
        <v>192</v>
      </c>
      <c r="D43">
        <v>12</v>
      </c>
      <c r="E43">
        <v>5</v>
      </c>
      <c r="F43">
        <v>5</v>
      </c>
      <c r="G43">
        <v>5</v>
      </c>
      <c r="H43">
        <v>0.24010000000000001</v>
      </c>
      <c r="I43">
        <v>4.76</v>
      </c>
      <c r="J43">
        <v>472.84</v>
      </c>
      <c r="K43">
        <v>33</v>
      </c>
    </row>
    <row r="44" spans="1:11" x14ac:dyDescent="0.2">
      <c r="A44" t="s">
        <v>37</v>
      </c>
      <c r="B44" t="s">
        <v>191</v>
      </c>
      <c r="C44" t="s">
        <v>190</v>
      </c>
      <c r="D44">
        <v>10</v>
      </c>
      <c r="E44">
        <v>5</v>
      </c>
      <c r="F44">
        <v>4</v>
      </c>
      <c r="G44">
        <v>5</v>
      </c>
      <c r="H44">
        <v>0.24010000000000001</v>
      </c>
      <c r="I44">
        <v>4.84</v>
      </c>
      <c r="J44">
        <v>528.29</v>
      </c>
      <c r="K44">
        <v>32</v>
      </c>
    </row>
    <row r="45" spans="1:11" x14ac:dyDescent="0.2">
      <c r="A45" t="s">
        <v>37</v>
      </c>
      <c r="B45" t="s">
        <v>191</v>
      </c>
      <c r="C45" t="s">
        <v>190</v>
      </c>
      <c r="D45">
        <v>10</v>
      </c>
      <c r="E45">
        <v>5</v>
      </c>
      <c r="F45">
        <v>5</v>
      </c>
      <c r="G45">
        <v>5</v>
      </c>
      <c r="H45">
        <v>0.23350000000000001</v>
      </c>
      <c r="I45">
        <v>4.9000000000000004</v>
      </c>
      <c r="J45">
        <v>647.66</v>
      </c>
      <c r="K45">
        <v>159</v>
      </c>
    </row>
    <row r="46" spans="1:11" x14ac:dyDescent="0.2">
      <c r="A46" t="s">
        <v>37</v>
      </c>
      <c r="B46" t="s">
        <v>191</v>
      </c>
      <c r="C46" t="s">
        <v>192</v>
      </c>
      <c r="D46">
        <v>6</v>
      </c>
      <c r="E46">
        <v>5</v>
      </c>
      <c r="F46">
        <v>5</v>
      </c>
      <c r="G46">
        <v>4</v>
      </c>
      <c r="H46">
        <v>0.22950000000000001</v>
      </c>
      <c r="I46">
        <v>4.46</v>
      </c>
      <c r="J46">
        <v>294.99</v>
      </c>
      <c r="K46">
        <v>17</v>
      </c>
    </row>
    <row r="47" spans="1:11" x14ac:dyDescent="0.2">
      <c r="A47" t="s">
        <v>37</v>
      </c>
      <c r="B47" t="s">
        <v>191</v>
      </c>
      <c r="C47" t="s">
        <v>190</v>
      </c>
      <c r="D47">
        <v>8</v>
      </c>
      <c r="E47">
        <v>5</v>
      </c>
      <c r="F47">
        <v>4</v>
      </c>
      <c r="G47">
        <v>5</v>
      </c>
      <c r="H47">
        <v>0.22670000000000001</v>
      </c>
      <c r="I47">
        <v>4.78</v>
      </c>
      <c r="J47">
        <v>374.4</v>
      </c>
      <c r="K47">
        <v>11</v>
      </c>
    </row>
    <row r="48" spans="1:11" x14ac:dyDescent="0.2">
      <c r="A48" t="s">
        <v>37</v>
      </c>
      <c r="B48" t="s">
        <v>191</v>
      </c>
      <c r="C48" t="s">
        <v>192</v>
      </c>
      <c r="D48">
        <v>6</v>
      </c>
      <c r="E48">
        <v>5</v>
      </c>
      <c r="F48">
        <v>4</v>
      </c>
      <c r="G48">
        <v>4</v>
      </c>
      <c r="H48">
        <v>0.22500000000000001</v>
      </c>
      <c r="I48">
        <v>4.45</v>
      </c>
      <c r="J48">
        <v>358.64</v>
      </c>
      <c r="K48">
        <v>9</v>
      </c>
    </row>
    <row r="49" spans="1:11" x14ac:dyDescent="0.2">
      <c r="A49" t="s">
        <v>37</v>
      </c>
      <c r="B49" t="s">
        <v>191</v>
      </c>
      <c r="C49" t="s">
        <v>192</v>
      </c>
      <c r="D49">
        <v>8</v>
      </c>
      <c r="E49">
        <v>5</v>
      </c>
      <c r="F49">
        <v>4</v>
      </c>
      <c r="G49">
        <v>5</v>
      </c>
      <c r="H49">
        <v>0.21990000000000001</v>
      </c>
      <c r="I49">
        <v>4.7</v>
      </c>
      <c r="J49">
        <v>333.04</v>
      </c>
      <c r="K49">
        <v>8</v>
      </c>
    </row>
    <row r="50" spans="1:11" x14ac:dyDescent="0.2">
      <c r="A50" t="s">
        <v>37</v>
      </c>
      <c r="B50" t="s">
        <v>193</v>
      </c>
      <c r="C50" t="s">
        <v>190</v>
      </c>
      <c r="D50">
        <v>16</v>
      </c>
      <c r="E50">
        <v>5</v>
      </c>
      <c r="F50">
        <v>5</v>
      </c>
      <c r="G50">
        <v>5</v>
      </c>
      <c r="H50">
        <v>0.21529999999999999</v>
      </c>
      <c r="I50">
        <v>4.9000000000000004</v>
      </c>
      <c r="J50">
        <v>1092.53</v>
      </c>
      <c r="K50">
        <v>5</v>
      </c>
    </row>
    <row r="51" spans="1:11" x14ac:dyDescent="0.2">
      <c r="A51" t="s">
        <v>37</v>
      </c>
      <c r="B51" t="s">
        <v>193</v>
      </c>
      <c r="C51" t="s">
        <v>192</v>
      </c>
      <c r="D51">
        <v>2</v>
      </c>
      <c r="E51">
        <v>5</v>
      </c>
      <c r="F51">
        <v>5</v>
      </c>
      <c r="G51">
        <v>4</v>
      </c>
      <c r="H51">
        <v>0.21099999999999999</v>
      </c>
      <c r="I51">
        <v>4.3099999999999996</v>
      </c>
      <c r="J51">
        <v>183.9</v>
      </c>
      <c r="K51">
        <v>15</v>
      </c>
    </row>
    <row r="52" spans="1:11" x14ac:dyDescent="0.2">
      <c r="A52" t="s">
        <v>37</v>
      </c>
      <c r="B52" t="s">
        <v>193</v>
      </c>
      <c r="C52" t="s">
        <v>192</v>
      </c>
      <c r="D52">
        <v>2</v>
      </c>
      <c r="E52">
        <v>4</v>
      </c>
      <c r="F52">
        <v>4</v>
      </c>
      <c r="G52">
        <v>4</v>
      </c>
      <c r="H52">
        <v>0.20880000000000001</v>
      </c>
      <c r="I52">
        <v>4.04</v>
      </c>
      <c r="J52">
        <v>104.21</v>
      </c>
      <c r="K52">
        <v>5</v>
      </c>
    </row>
    <row r="53" spans="1:11" x14ac:dyDescent="0.2">
      <c r="A53" t="s">
        <v>37</v>
      </c>
      <c r="B53" t="s">
        <v>191</v>
      </c>
      <c r="C53" t="s">
        <v>192</v>
      </c>
      <c r="D53">
        <v>2</v>
      </c>
      <c r="E53">
        <v>5</v>
      </c>
      <c r="F53">
        <v>4</v>
      </c>
      <c r="G53">
        <v>4</v>
      </c>
      <c r="H53">
        <v>0.20269999999999999</v>
      </c>
      <c r="I53">
        <v>4.38</v>
      </c>
      <c r="J53">
        <v>187.41</v>
      </c>
      <c r="K53">
        <v>9</v>
      </c>
    </row>
    <row r="54" spans="1:11" x14ac:dyDescent="0.2">
      <c r="A54" t="s">
        <v>37</v>
      </c>
      <c r="B54" t="s">
        <v>189</v>
      </c>
      <c r="C54" t="s">
        <v>192</v>
      </c>
      <c r="D54">
        <v>2</v>
      </c>
      <c r="E54">
        <v>5</v>
      </c>
      <c r="F54">
        <v>5</v>
      </c>
      <c r="G54">
        <v>5</v>
      </c>
      <c r="H54">
        <v>0.20230000000000001</v>
      </c>
      <c r="I54">
        <v>4.87</v>
      </c>
      <c r="J54">
        <v>206.33</v>
      </c>
      <c r="K54">
        <v>6</v>
      </c>
    </row>
    <row r="55" spans="1:11" x14ac:dyDescent="0.2">
      <c r="A55" t="s">
        <v>37</v>
      </c>
      <c r="B55" t="s">
        <v>189</v>
      </c>
      <c r="C55" t="s">
        <v>192</v>
      </c>
      <c r="D55">
        <v>4</v>
      </c>
      <c r="E55">
        <v>5</v>
      </c>
      <c r="F55">
        <v>5</v>
      </c>
      <c r="G55">
        <v>5</v>
      </c>
      <c r="H55">
        <v>0.1883</v>
      </c>
      <c r="I55">
        <v>4.91</v>
      </c>
      <c r="J55">
        <v>210.24</v>
      </c>
      <c r="K55">
        <v>7</v>
      </c>
    </row>
    <row r="56" spans="1:11" x14ac:dyDescent="0.2">
      <c r="A56" t="s">
        <v>37</v>
      </c>
      <c r="B56" t="s">
        <v>191</v>
      </c>
      <c r="C56" t="s">
        <v>190</v>
      </c>
      <c r="D56">
        <v>14</v>
      </c>
      <c r="E56">
        <v>5</v>
      </c>
      <c r="F56">
        <v>5</v>
      </c>
      <c r="G56">
        <v>5</v>
      </c>
      <c r="H56">
        <v>0.18079999999999999</v>
      </c>
      <c r="I56">
        <v>4.9000000000000004</v>
      </c>
      <c r="J56">
        <v>543.34</v>
      </c>
      <c r="K56">
        <v>16</v>
      </c>
    </row>
    <row r="57" spans="1:11" x14ac:dyDescent="0.2">
      <c r="A57" t="s">
        <v>37</v>
      </c>
      <c r="B57" t="s">
        <v>189</v>
      </c>
      <c r="C57" t="s">
        <v>190</v>
      </c>
      <c r="D57">
        <v>16</v>
      </c>
      <c r="E57">
        <v>5</v>
      </c>
      <c r="F57">
        <v>5</v>
      </c>
      <c r="G57">
        <v>5</v>
      </c>
      <c r="H57">
        <v>0.18010000000000001</v>
      </c>
      <c r="I57">
        <v>4.87</v>
      </c>
      <c r="J57">
        <v>911.33</v>
      </c>
      <c r="K57">
        <v>15</v>
      </c>
    </row>
    <row r="58" spans="1:11" x14ac:dyDescent="0.2">
      <c r="A58" t="s">
        <v>37</v>
      </c>
      <c r="B58" t="s">
        <v>193</v>
      </c>
      <c r="C58" t="s">
        <v>190</v>
      </c>
      <c r="D58">
        <v>8</v>
      </c>
      <c r="E58">
        <v>5</v>
      </c>
      <c r="F58">
        <v>5</v>
      </c>
      <c r="G58">
        <v>5</v>
      </c>
      <c r="H58">
        <v>0.17330000000000001</v>
      </c>
      <c r="I58">
        <v>4.96</v>
      </c>
      <c r="J58">
        <v>550.79999999999995</v>
      </c>
      <c r="K58">
        <v>8</v>
      </c>
    </row>
    <row r="59" spans="1:11" x14ac:dyDescent="0.2">
      <c r="A59" t="s">
        <v>37</v>
      </c>
      <c r="B59" t="s">
        <v>189</v>
      </c>
      <c r="C59" t="s">
        <v>192</v>
      </c>
      <c r="D59">
        <v>8</v>
      </c>
      <c r="E59">
        <v>5</v>
      </c>
      <c r="F59">
        <v>5</v>
      </c>
      <c r="G59">
        <v>5</v>
      </c>
      <c r="H59">
        <v>0.1726</v>
      </c>
      <c r="I59">
        <v>4.75</v>
      </c>
      <c r="J59">
        <v>485.78</v>
      </c>
      <c r="K59">
        <v>6</v>
      </c>
    </row>
    <row r="60" spans="1:11" x14ac:dyDescent="0.2">
      <c r="A60" t="s">
        <v>37</v>
      </c>
      <c r="B60" t="s">
        <v>191</v>
      </c>
      <c r="C60" t="s">
        <v>192</v>
      </c>
      <c r="D60">
        <v>6</v>
      </c>
      <c r="E60">
        <v>4</v>
      </c>
      <c r="F60">
        <v>5</v>
      </c>
      <c r="G60">
        <v>5</v>
      </c>
      <c r="H60">
        <v>0.1633</v>
      </c>
      <c r="I60">
        <v>4.45</v>
      </c>
      <c r="J60">
        <v>363.26</v>
      </c>
      <c r="K60">
        <v>5</v>
      </c>
    </row>
    <row r="61" spans="1:11" x14ac:dyDescent="0.2">
      <c r="A61" t="s">
        <v>37</v>
      </c>
      <c r="B61" t="s">
        <v>193</v>
      </c>
      <c r="C61" t="s">
        <v>192</v>
      </c>
      <c r="D61">
        <v>6</v>
      </c>
      <c r="E61">
        <v>5</v>
      </c>
      <c r="F61">
        <v>5</v>
      </c>
      <c r="G61">
        <v>5</v>
      </c>
      <c r="H61">
        <v>0.15890000000000001</v>
      </c>
      <c r="I61">
        <v>4.8600000000000003</v>
      </c>
      <c r="J61">
        <v>319.69</v>
      </c>
      <c r="K61">
        <v>9</v>
      </c>
    </row>
    <row r="62" spans="1:11" x14ac:dyDescent="0.2">
      <c r="A62" t="s">
        <v>37</v>
      </c>
      <c r="B62" t="s">
        <v>193</v>
      </c>
      <c r="C62" t="s">
        <v>192</v>
      </c>
      <c r="D62">
        <v>8</v>
      </c>
      <c r="E62">
        <v>5</v>
      </c>
      <c r="F62">
        <v>5</v>
      </c>
      <c r="G62">
        <v>5</v>
      </c>
      <c r="H62">
        <v>0.15479999999999999</v>
      </c>
      <c r="I62">
        <v>4.97</v>
      </c>
      <c r="J62">
        <v>392.17</v>
      </c>
      <c r="K62">
        <v>6</v>
      </c>
    </row>
    <row r="63" spans="1:11" x14ac:dyDescent="0.2">
      <c r="A63" t="s">
        <v>37</v>
      </c>
      <c r="B63" t="s">
        <v>191</v>
      </c>
      <c r="C63" t="s">
        <v>192</v>
      </c>
      <c r="D63">
        <v>4</v>
      </c>
      <c r="E63">
        <v>4</v>
      </c>
      <c r="F63">
        <v>4</v>
      </c>
      <c r="G63">
        <v>4</v>
      </c>
      <c r="H63">
        <v>0.15409999999999999</v>
      </c>
      <c r="I63">
        <v>4.22</v>
      </c>
      <c r="J63">
        <v>192.13</v>
      </c>
      <c r="K63">
        <v>26</v>
      </c>
    </row>
    <row r="64" spans="1:11" x14ac:dyDescent="0.2">
      <c r="A64" t="s">
        <v>37</v>
      </c>
      <c r="B64" t="s">
        <v>191</v>
      </c>
      <c r="C64" t="s">
        <v>192</v>
      </c>
      <c r="D64">
        <v>8</v>
      </c>
      <c r="E64">
        <v>5</v>
      </c>
      <c r="F64">
        <v>5</v>
      </c>
      <c r="G64">
        <v>4</v>
      </c>
      <c r="H64">
        <v>0.15340000000000001</v>
      </c>
      <c r="I64">
        <v>4.59</v>
      </c>
      <c r="J64">
        <v>320.08</v>
      </c>
      <c r="K64">
        <v>5</v>
      </c>
    </row>
    <row r="65" spans="1:11" x14ac:dyDescent="0.2">
      <c r="A65" t="s">
        <v>37</v>
      </c>
      <c r="B65" t="s">
        <v>191</v>
      </c>
      <c r="C65" t="s">
        <v>192</v>
      </c>
      <c r="D65">
        <v>4</v>
      </c>
      <c r="E65">
        <v>5</v>
      </c>
      <c r="F65">
        <v>5</v>
      </c>
      <c r="G65">
        <v>4</v>
      </c>
      <c r="H65">
        <v>0.15040000000000001</v>
      </c>
      <c r="I65">
        <v>4.47</v>
      </c>
      <c r="J65">
        <v>206.61</v>
      </c>
      <c r="K65">
        <v>40</v>
      </c>
    </row>
    <row r="66" spans="1:11" x14ac:dyDescent="0.2">
      <c r="A66" t="s">
        <v>37</v>
      </c>
      <c r="B66" t="s">
        <v>191</v>
      </c>
      <c r="C66" t="s">
        <v>192</v>
      </c>
      <c r="D66">
        <v>2</v>
      </c>
      <c r="E66">
        <v>5</v>
      </c>
      <c r="F66">
        <v>5</v>
      </c>
      <c r="G66">
        <v>4</v>
      </c>
      <c r="H66">
        <v>0.1464</v>
      </c>
      <c r="I66">
        <v>4.26</v>
      </c>
      <c r="J66">
        <v>203.44</v>
      </c>
      <c r="K66">
        <v>9</v>
      </c>
    </row>
    <row r="67" spans="1:11" x14ac:dyDescent="0.2">
      <c r="A67" t="s">
        <v>37</v>
      </c>
      <c r="B67" t="s">
        <v>191</v>
      </c>
      <c r="C67" t="s">
        <v>192</v>
      </c>
      <c r="D67">
        <v>10</v>
      </c>
      <c r="E67">
        <v>5</v>
      </c>
      <c r="F67">
        <v>4</v>
      </c>
      <c r="G67">
        <v>5</v>
      </c>
      <c r="H67">
        <v>0.13519999999999999</v>
      </c>
      <c r="I67">
        <v>4.8099999999999996</v>
      </c>
      <c r="J67">
        <v>515.66</v>
      </c>
      <c r="K67">
        <v>9</v>
      </c>
    </row>
    <row r="68" spans="1:11" x14ac:dyDescent="0.2">
      <c r="A68" t="s">
        <v>37</v>
      </c>
      <c r="B68" t="s">
        <v>193</v>
      </c>
      <c r="C68" t="s">
        <v>190</v>
      </c>
      <c r="D68">
        <v>6</v>
      </c>
      <c r="E68">
        <v>5</v>
      </c>
      <c r="F68">
        <v>5</v>
      </c>
      <c r="G68">
        <v>5</v>
      </c>
      <c r="H68">
        <v>0.12640000000000001</v>
      </c>
      <c r="I68">
        <v>4.9400000000000004</v>
      </c>
      <c r="J68">
        <v>340.54</v>
      </c>
      <c r="K68">
        <v>75</v>
      </c>
    </row>
    <row r="69" spans="1:11" x14ac:dyDescent="0.2">
      <c r="A69" t="s">
        <v>37</v>
      </c>
      <c r="B69" t="s">
        <v>191</v>
      </c>
      <c r="C69" t="s">
        <v>192</v>
      </c>
      <c r="D69">
        <v>8</v>
      </c>
      <c r="E69">
        <v>4</v>
      </c>
      <c r="F69">
        <v>4</v>
      </c>
      <c r="G69">
        <v>4</v>
      </c>
      <c r="H69">
        <v>0.1182</v>
      </c>
      <c r="I69">
        <v>4.3</v>
      </c>
      <c r="J69">
        <v>332.59</v>
      </c>
      <c r="K69">
        <v>7</v>
      </c>
    </row>
    <row r="70" spans="1:11" x14ac:dyDescent="0.2">
      <c r="A70" t="s">
        <v>37</v>
      </c>
      <c r="B70" t="s">
        <v>191</v>
      </c>
      <c r="C70" t="s">
        <v>192</v>
      </c>
      <c r="D70">
        <v>2</v>
      </c>
      <c r="E70">
        <v>4</v>
      </c>
      <c r="F70">
        <v>4</v>
      </c>
      <c r="G70">
        <v>4</v>
      </c>
      <c r="H70">
        <v>0.1144</v>
      </c>
      <c r="I70">
        <v>4.03</v>
      </c>
      <c r="J70">
        <v>178.72</v>
      </c>
      <c r="K70">
        <v>8</v>
      </c>
    </row>
    <row r="71" spans="1:11" x14ac:dyDescent="0.2">
      <c r="A71" t="s">
        <v>37</v>
      </c>
      <c r="B71" t="s">
        <v>191</v>
      </c>
      <c r="C71" t="s">
        <v>192</v>
      </c>
      <c r="D71">
        <v>4</v>
      </c>
      <c r="E71">
        <v>4</v>
      </c>
      <c r="F71">
        <v>5</v>
      </c>
      <c r="G71">
        <v>5</v>
      </c>
      <c r="H71">
        <v>0.1134</v>
      </c>
      <c r="I71">
        <v>4.4800000000000004</v>
      </c>
      <c r="J71">
        <v>195.79</v>
      </c>
      <c r="K71">
        <v>8</v>
      </c>
    </row>
    <row r="72" spans="1:11" x14ac:dyDescent="0.2">
      <c r="A72" t="s">
        <v>37</v>
      </c>
      <c r="B72" t="s">
        <v>193</v>
      </c>
      <c r="C72" t="s">
        <v>192</v>
      </c>
      <c r="D72">
        <v>2</v>
      </c>
      <c r="E72">
        <v>4</v>
      </c>
      <c r="F72">
        <v>5</v>
      </c>
      <c r="G72">
        <v>4</v>
      </c>
      <c r="H72">
        <v>0.1033</v>
      </c>
      <c r="I72">
        <v>4.17</v>
      </c>
      <c r="J72">
        <v>139.74</v>
      </c>
      <c r="K72">
        <v>7</v>
      </c>
    </row>
    <row r="73" spans="1:11" x14ac:dyDescent="0.2">
      <c r="A73" t="s">
        <v>37</v>
      </c>
      <c r="B73" t="s">
        <v>191</v>
      </c>
      <c r="C73" t="s">
        <v>192</v>
      </c>
      <c r="D73">
        <v>2</v>
      </c>
      <c r="E73">
        <v>4</v>
      </c>
      <c r="F73">
        <v>5</v>
      </c>
      <c r="G73">
        <v>4</v>
      </c>
      <c r="H73">
        <v>9.8400000000000001E-2</v>
      </c>
      <c r="I73">
        <v>4.16</v>
      </c>
      <c r="J73">
        <v>191.33</v>
      </c>
      <c r="K73">
        <v>10</v>
      </c>
    </row>
    <row r="74" spans="1:11" x14ac:dyDescent="0.2">
      <c r="A74" t="s">
        <v>37</v>
      </c>
      <c r="B74" t="s">
        <v>191</v>
      </c>
      <c r="C74" t="s">
        <v>192</v>
      </c>
      <c r="D74">
        <v>4</v>
      </c>
      <c r="E74">
        <v>4</v>
      </c>
      <c r="F74">
        <v>5</v>
      </c>
      <c r="G74">
        <v>4</v>
      </c>
      <c r="H74">
        <v>8.6499999999999994E-2</v>
      </c>
      <c r="I74">
        <v>4.24</v>
      </c>
      <c r="J74">
        <v>236.17</v>
      </c>
      <c r="K74">
        <v>32</v>
      </c>
    </row>
    <row r="75" spans="1:11" x14ac:dyDescent="0.2">
      <c r="A75" t="s">
        <v>37</v>
      </c>
      <c r="B75" t="s">
        <v>193</v>
      </c>
      <c r="C75" t="s">
        <v>192</v>
      </c>
      <c r="D75">
        <v>4</v>
      </c>
      <c r="E75">
        <v>4</v>
      </c>
      <c r="F75">
        <v>5</v>
      </c>
      <c r="G75">
        <v>4</v>
      </c>
      <c r="H75">
        <v>6.8500000000000005E-2</v>
      </c>
      <c r="I75">
        <v>4.2</v>
      </c>
      <c r="J75">
        <v>138.55000000000001</v>
      </c>
      <c r="K75">
        <v>6</v>
      </c>
    </row>
    <row r="76" spans="1:11" x14ac:dyDescent="0.2">
      <c r="A76" t="s">
        <v>37</v>
      </c>
      <c r="B76" t="s">
        <v>191</v>
      </c>
      <c r="C76" t="s">
        <v>192</v>
      </c>
      <c r="D76">
        <v>6</v>
      </c>
      <c r="E76">
        <v>4</v>
      </c>
      <c r="F76">
        <v>4</v>
      </c>
      <c r="G76">
        <v>4</v>
      </c>
      <c r="H76">
        <v>5.4399999999999997E-2</v>
      </c>
      <c r="I76">
        <v>4.26</v>
      </c>
      <c r="J76">
        <v>300.16000000000003</v>
      </c>
      <c r="K76">
        <v>15</v>
      </c>
    </row>
    <row r="77" spans="1:11" x14ac:dyDescent="0.2">
      <c r="A77" t="s">
        <v>37</v>
      </c>
      <c r="B77" t="s">
        <v>191</v>
      </c>
      <c r="C77" t="s">
        <v>192</v>
      </c>
      <c r="D77">
        <v>4</v>
      </c>
      <c r="E77">
        <v>4</v>
      </c>
      <c r="F77">
        <v>4</v>
      </c>
      <c r="G77">
        <v>3</v>
      </c>
      <c r="H77">
        <v>4.3799999999999999E-2</v>
      </c>
      <c r="I77">
        <v>3.08</v>
      </c>
      <c r="J77">
        <v>205.12</v>
      </c>
      <c r="K77">
        <v>5</v>
      </c>
    </row>
    <row r="78" spans="1:11" x14ac:dyDescent="0.2">
      <c r="A78" t="s">
        <v>76</v>
      </c>
      <c r="B78" t="s">
        <v>193</v>
      </c>
      <c r="C78" t="s">
        <v>192</v>
      </c>
      <c r="D78">
        <v>8</v>
      </c>
      <c r="E78">
        <v>5</v>
      </c>
      <c r="F78">
        <v>5</v>
      </c>
      <c r="G78">
        <v>4</v>
      </c>
      <c r="H78">
        <v>0.83479999999999999</v>
      </c>
      <c r="I78">
        <v>4.59</v>
      </c>
      <c r="J78">
        <v>458.86</v>
      </c>
      <c r="K78">
        <v>7</v>
      </c>
    </row>
    <row r="79" spans="1:11" x14ac:dyDescent="0.2">
      <c r="A79" t="s">
        <v>76</v>
      </c>
      <c r="B79" t="s">
        <v>191</v>
      </c>
      <c r="C79" t="s">
        <v>192</v>
      </c>
      <c r="D79">
        <v>3</v>
      </c>
      <c r="E79">
        <v>5</v>
      </c>
      <c r="F79">
        <v>5</v>
      </c>
      <c r="G79">
        <v>4</v>
      </c>
      <c r="H79">
        <v>0.74160000000000004</v>
      </c>
      <c r="I79">
        <v>4.53</v>
      </c>
      <c r="J79">
        <v>228.64</v>
      </c>
      <c r="K79">
        <v>6</v>
      </c>
    </row>
    <row r="80" spans="1:11" x14ac:dyDescent="0.2">
      <c r="A80" t="s">
        <v>76</v>
      </c>
      <c r="B80" t="s">
        <v>193</v>
      </c>
      <c r="C80" t="s">
        <v>192</v>
      </c>
      <c r="D80">
        <v>8</v>
      </c>
      <c r="E80">
        <v>5</v>
      </c>
      <c r="F80">
        <v>5</v>
      </c>
      <c r="G80">
        <v>5</v>
      </c>
      <c r="H80">
        <v>0.6784</v>
      </c>
      <c r="I80">
        <v>4.7</v>
      </c>
      <c r="J80">
        <v>501.37</v>
      </c>
      <c r="K80">
        <v>10</v>
      </c>
    </row>
    <row r="81" spans="1:11" x14ac:dyDescent="0.2">
      <c r="A81" t="s">
        <v>76</v>
      </c>
      <c r="B81" t="s">
        <v>191</v>
      </c>
      <c r="C81" t="s">
        <v>192</v>
      </c>
      <c r="D81">
        <v>5</v>
      </c>
      <c r="E81">
        <v>4</v>
      </c>
      <c r="F81">
        <v>5</v>
      </c>
      <c r="G81">
        <v>5</v>
      </c>
      <c r="H81">
        <v>0.63770000000000004</v>
      </c>
      <c r="I81">
        <v>4.6500000000000004</v>
      </c>
      <c r="J81">
        <v>290.76</v>
      </c>
      <c r="K81">
        <v>9</v>
      </c>
    </row>
    <row r="82" spans="1:11" x14ac:dyDescent="0.2">
      <c r="A82" t="s">
        <v>76</v>
      </c>
      <c r="B82" t="s">
        <v>191</v>
      </c>
      <c r="C82" t="s">
        <v>192</v>
      </c>
      <c r="D82">
        <v>9</v>
      </c>
      <c r="E82">
        <v>5</v>
      </c>
      <c r="F82">
        <v>5</v>
      </c>
      <c r="G82">
        <v>5</v>
      </c>
      <c r="H82">
        <v>0.62649999999999995</v>
      </c>
      <c r="I82">
        <v>4.74</v>
      </c>
      <c r="J82">
        <v>550.59</v>
      </c>
      <c r="K82">
        <v>6</v>
      </c>
    </row>
    <row r="83" spans="1:11" x14ac:dyDescent="0.2">
      <c r="A83" t="s">
        <v>76</v>
      </c>
      <c r="B83" t="s">
        <v>193</v>
      </c>
      <c r="C83" t="s">
        <v>190</v>
      </c>
      <c r="D83">
        <v>2</v>
      </c>
      <c r="E83">
        <v>4</v>
      </c>
      <c r="F83">
        <v>5</v>
      </c>
      <c r="G83">
        <v>5</v>
      </c>
      <c r="H83">
        <v>0.60089999999999999</v>
      </c>
      <c r="I83">
        <v>4.62</v>
      </c>
      <c r="J83">
        <v>268.66000000000003</v>
      </c>
      <c r="K83">
        <v>6</v>
      </c>
    </row>
    <row r="84" spans="1:11" x14ac:dyDescent="0.2">
      <c r="A84" t="s">
        <v>76</v>
      </c>
      <c r="B84" t="s">
        <v>191</v>
      </c>
      <c r="C84" t="s">
        <v>192</v>
      </c>
      <c r="D84">
        <v>8</v>
      </c>
      <c r="E84">
        <v>5</v>
      </c>
      <c r="F84">
        <v>5</v>
      </c>
      <c r="G84">
        <v>5</v>
      </c>
      <c r="H84">
        <v>0.57679999999999998</v>
      </c>
      <c r="I84">
        <v>4.78</v>
      </c>
      <c r="J84">
        <v>542.07000000000005</v>
      </c>
      <c r="K84">
        <v>21</v>
      </c>
    </row>
    <row r="85" spans="1:11" x14ac:dyDescent="0.2">
      <c r="A85" t="s">
        <v>76</v>
      </c>
      <c r="B85" t="s">
        <v>193</v>
      </c>
      <c r="C85" t="s">
        <v>190</v>
      </c>
      <c r="D85">
        <v>4</v>
      </c>
      <c r="E85">
        <v>5</v>
      </c>
      <c r="F85">
        <v>4</v>
      </c>
      <c r="G85">
        <v>5</v>
      </c>
      <c r="H85">
        <v>0.55120000000000002</v>
      </c>
      <c r="I85">
        <v>4.8099999999999996</v>
      </c>
      <c r="J85">
        <v>245.7</v>
      </c>
      <c r="K85">
        <v>5</v>
      </c>
    </row>
    <row r="86" spans="1:11" x14ac:dyDescent="0.2">
      <c r="A86" t="s">
        <v>76</v>
      </c>
      <c r="B86" t="s">
        <v>193</v>
      </c>
      <c r="C86" t="s">
        <v>192</v>
      </c>
      <c r="D86">
        <v>6</v>
      </c>
      <c r="E86">
        <v>5</v>
      </c>
      <c r="F86">
        <v>5</v>
      </c>
      <c r="G86">
        <v>5</v>
      </c>
      <c r="H86">
        <v>0.54600000000000004</v>
      </c>
      <c r="I86">
        <v>4.8099999999999996</v>
      </c>
      <c r="J86">
        <v>1047.54</v>
      </c>
      <c r="K86">
        <v>14</v>
      </c>
    </row>
    <row r="87" spans="1:11" x14ac:dyDescent="0.2">
      <c r="A87" t="s">
        <v>76</v>
      </c>
      <c r="B87" t="s">
        <v>193</v>
      </c>
      <c r="C87" t="s">
        <v>192</v>
      </c>
      <c r="D87">
        <v>2</v>
      </c>
      <c r="E87">
        <v>4</v>
      </c>
      <c r="F87">
        <v>5</v>
      </c>
      <c r="G87">
        <v>5</v>
      </c>
      <c r="H87">
        <v>0.54549999999999998</v>
      </c>
      <c r="I87">
        <v>4.6100000000000003</v>
      </c>
      <c r="J87">
        <v>176</v>
      </c>
      <c r="K87">
        <v>27</v>
      </c>
    </row>
    <row r="88" spans="1:11" x14ac:dyDescent="0.2">
      <c r="A88" t="s">
        <v>76</v>
      </c>
      <c r="B88" t="s">
        <v>191</v>
      </c>
      <c r="C88" t="s">
        <v>192</v>
      </c>
      <c r="D88">
        <v>2</v>
      </c>
      <c r="E88">
        <v>5</v>
      </c>
      <c r="F88">
        <v>5</v>
      </c>
      <c r="G88">
        <v>5</v>
      </c>
      <c r="H88">
        <v>0.54379999999999995</v>
      </c>
      <c r="I88">
        <v>4.76</v>
      </c>
      <c r="J88">
        <v>273.3</v>
      </c>
      <c r="K88">
        <v>158</v>
      </c>
    </row>
    <row r="89" spans="1:11" x14ac:dyDescent="0.2">
      <c r="A89" t="s">
        <v>76</v>
      </c>
      <c r="B89" t="s">
        <v>193</v>
      </c>
      <c r="C89" t="s">
        <v>192</v>
      </c>
      <c r="D89">
        <v>2</v>
      </c>
      <c r="E89">
        <v>4</v>
      </c>
      <c r="F89">
        <v>4</v>
      </c>
      <c r="G89">
        <v>5</v>
      </c>
      <c r="H89">
        <v>0.53449999999999998</v>
      </c>
      <c r="I89">
        <v>4.59</v>
      </c>
      <c r="J89">
        <v>183.87</v>
      </c>
      <c r="K89">
        <v>11</v>
      </c>
    </row>
    <row r="90" spans="1:11" x14ac:dyDescent="0.2">
      <c r="A90" t="s">
        <v>76</v>
      </c>
      <c r="B90" t="s">
        <v>191</v>
      </c>
      <c r="C90" t="s">
        <v>192</v>
      </c>
      <c r="D90">
        <v>6</v>
      </c>
      <c r="E90">
        <v>4</v>
      </c>
      <c r="F90">
        <v>5</v>
      </c>
      <c r="G90">
        <v>4</v>
      </c>
      <c r="H90">
        <v>0.51939999999999997</v>
      </c>
      <c r="I90">
        <v>4.3499999999999996</v>
      </c>
      <c r="J90">
        <v>333.78</v>
      </c>
      <c r="K90">
        <v>17</v>
      </c>
    </row>
    <row r="91" spans="1:11" x14ac:dyDescent="0.2">
      <c r="A91" t="s">
        <v>76</v>
      </c>
      <c r="B91" t="s">
        <v>193</v>
      </c>
      <c r="C91" t="s">
        <v>192</v>
      </c>
      <c r="D91">
        <v>5</v>
      </c>
      <c r="E91">
        <v>5</v>
      </c>
      <c r="F91">
        <v>5</v>
      </c>
      <c r="G91">
        <v>5</v>
      </c>
      <c r="H91">
        <v>0.51590000000000003</v>
      </c>
      <c r="I91">
        <v>4.8499999999999996</v>
      </c>
      <c r="J91">
        <v>296.31</v>
      </c>
      <c r="K91">
        <v>7</v>
      </c>
    </row>
    <row r="92" spans="1:11" x14ac:dyDescent="0.2">
      <c r="A92" t="s">
        <v>76</v>
      </c>
      <c r="B92" t="s">
        <v>191</v>
      </c>
      <c r="C92" t="s">
        <v>192</v>
      </c>
      <c r="D92">
        <v>3</v>
      </c>
      <c r="E92">
        <v>4</v>
      </c>
      <c r="F92">
        <v>5</v>
      </c>
      <c r="G92">
        <v>4</v>
      </c>
      <c r="H92">
        <v>0.51200000000000001</v>
      </c>
      <c r="I92">
        <v>4.34</v>
      </c>
      <c r="J92">
        <v>253.73</v>
      </c>
      <c r="K92">
        <v>22</v>
      </c>
    </row>
    <row r="93" spans="1:11" x14ac:dyDescent="0.2">
      <c r="A93" t="s">
        <v>76</v>
      </c>
      <c r="B93" t="s">
        <v>191</v>
      </c>
      <c r="C93" t="s">
        <v>192</v>
      </c>
      <c r="D93">
        <v>6</v>
      </c>
      <c r="E93">
        <v>4</v>
      </c>
      <c r="F93">
        <v>5</v>
      </c>
      <c r="G93">
        <v>5</v>
      </c>
      <c r="H93">
        <v>0.51100000000000001</v>
      </c>
      <c r="I93">
        <v>4.54</v>
      </c>
      <c r="J93">
        <v>320.52999999999997</v>
      </c>
      <c r="K93">
        <v>6</v>
      </c>
    </row>
    <row r="94" spans="1:11" x14ac:dyDescent="0.2">
      <c r="A94" t="s">
        <v>76</v>
      </c>
      <c r="B94" t="s">
        <v>193</v>
      </c>
      <c r="C94" t="s">
        <v>13</v>
      </c>
      <c r="D94">
        <v>2</v>
      </c>
      <c r="E94">
        <v>5</v>
      </c>
      <c r="F94">
        <v>4</v>
      </c>
      <c r="G94">
        <v>4</v>
      </c>
      <c r="H94">
        <v>0.51080000000000003</v>
      </c>
      <c r="I94">
        <v>4.29</v>
      </c>
      <c r="J94">
        <v>210.84</v>
      </c>
      <c r="K94">
        <v>7</v>
      </c>
    </row>
    <row r="95" spans="1:11" x14ac:dyDescent="0.2">
      <c r="A95" t="s">
        <v>76</v>
      </c>
      <c r="B95" t="s">
        <v>193</v>
      </c>
      <c r="C95" t="s">
        <v>190</v>
      </c>
      <c r="D95">
        <v>4</v>
      </c>
      <c r="E95">
        <v>5</v>
      </c>
      <c r="F95">
        <v>5</v>
      </c>
      <c r="G95">
        <v>4</v>
      </c>
      <c r="H95">
        <v>0.50549999999999995</v>
      </c>
      <c r="I95">
        <v>4.62</v>
      </c>
      <c r="J95">
        <v>367.24</v>
      </c>
      <c r="K95">
        <v>6</v>
      </c>
    </row>
    <row r="96" spans="1:11" x14ac:dyDescent="0.2">
      <c r="A96" t="s">
        <v>76</v>
      </c>
      <c r="B96" t="s">
        <v>193</v>
      </c>
      <c r="C96" t="s">
        <v>190</v>
      </c>
      <c r="D96">
        <v>2</v>
      </c>
      <c r="E96">
        <v>5</v>
      </c>
      <c r="F96">
        <v>5</v>
      </c>
      <c r="G96">
        <v>4</v>
      </c>
      <c r="H96">
        <v>0.49719999999999998</v>
      </c>
      <c r="I96">
        <v>4.7</v>
      </c>
      <c r="J96">
        <v>770.3</v>
      </c>
      <c r="K96">
        <v>10</v>
      </c>
    </row>
    <row r="97" spans="1:11" x14ac:dyDescent="0.2">
      <c r="A97" t="s">
        <v>76</v>
      </c>
      <c r="B97" t="s">
        <v>191</v>
      </c>
      <c r="C97" t="s">
        <v>192</v>
      </c>
      <c r="D97">
        <v>3</v>
      </c>
      <c r="E97">
        <v>5</v>
      </c>
      <c r="F97">
        <v>5</v>
      </c>
      <c r="G97">
        <v>5</v>
      </c>
      <c r="H97">
        <v>0.49209999999999998</v>
      </c>
      <c r="I97">
        <v>4.78</v>
      </c>
      <c r="J97">
        <v>339.29</v>
      </c>
      <c r="K97">
        <v>25</v>
      </c>
    </row>
    <row r="98" spans="1:11" x14ac:dyDescent="0.2">
      <c r="A98" t="s">
        <v>76</v>
      </c>
      <c r="B98" t="s">
        <v>193</v>
      </c>
      <c r="C98" t="s">
        <v>192</v>
      </c>
      <c r="D98">
        <v>1</v>
      </c>
      <c r="E98">
        <v>5</v>
      </c>
      <c r="F98">
        <v>5</v>
      </c>
      <c r="G98">
        <v>5</v>
      </c>
      <c r="H98">
        <v>0.49049999999999999</v>
      </c>
      <c r="I98">
        <v>4.8600000000000003</v>
      </c>
      <c r="J98">
        <v>161.30000000000001</v>
      </c>
      <c r="K98">
        <v>60</v>
      </c>
    </row>
    <row r="99" spans="1:11" x14ac:dyDescent="0.2">
      <c r="A99" t="s">
        <v>76</v>
      </c>
      <c r="B99" t="s">
        <v>191</v>
      </c>
      <c r="C99" t="s">
        <v>192</v>
      </c>
      <c r="D99">
        <v>6</v>
      </c>
      <c r="E99">
        <v>5</v>
      </c>
      <c r="F99">
        <v>5</v>
      </c>
      <c r="G99">
        <v>4</v>
      </c>
      <c r="H99">
        <v>0.48970000000000002</v>
      </c>
      <c r="I99">
        <v>4.5199999999999996</v>
      </c>
      <c r="J99">
        <v>380.86</v>
      </c>
      <c r="K99">
        <v>15</v>
      </c>
    </row>
    <row r="100" spans="1:11" x14ac:dyDescent="0.2">
      <c r="A100" t="s">
        <v>76</v>
      </c>
      <c r="B100" t="s">
        <v>191</v>
      </c>
      <c r="C100" t="s">
        <v>190</v>
      </c>
      <c r="D100">
        <v>3</v>
      </c>
      <c r="E100">
        <v>5</v>
      </c>
      <c r="F100">
        <v>5</v>
      </c>
      <c r="G100">
        <v>5</v>
      </c>
      <c r="H100">
        <v>0.48859999999999998</v>
      </c>
      <c r="I100">
        <v>4.8499999999999996</v>
      </c>
      <c r="J100">
        <v>375.06</v>
      </c>
      <c r="K100">
        <v>37</v>
      </c>
    </row>
    <row r="101" spans="1:11" x14ac:dyDescent="0.2">
      <c r="A101" t="s">
        <v>76</v>
      </c>
      <c r="B101" t="s">
        <v>193</v>
      </c>
      <c r="C101" t="s">
        <v>190</v>
      </c>
      <c r="D101">
        <v>1</v>
      </c>
      <c r="E101">
        <v>5</v>
      </c>
      <c r="F101">
        <v>5</v>
      </c>
      <c r="G101">
        <v>5</v>
      </c>
      <c r="H101">
        <v>0.4859</v>
      </c>
      <c r="I101">
        <v>4.9000000000000004</v>
      </c>
      <c r="J101">
        <v>154.01</v>
      </c>
      <c r="K101">
        <v>203</v>
      </c>
    </row>
    <row r="102" spans="1:11" x14ac:dyDescent="0.2">
      <c r="A102" t="s">
        <v>76</v>
      </c>
      <c r="B102" t="s">
        <v>191</v>
      </c>
      <c r="C102" t="s">
        <v>192</v>
      </c>
      <c r="D102">
        <v>8</v>
      </c>
      <c r="E102">
        <v>4</v>
      </c>
      <c r="F102">
        <v>5</v>
      </c>
      <c r="G102">
        <v>4</v>
      </c>
      <c r="H102">
        <v>0.48220000000000002</v>
      </c>
      <c r="I102">
        <v>4.3499999999999996</v>
      </c>
      <c r="J102">
        <v>342.17</v>
      </c>
      <c r="K102">
        <v>14</v>
      </c>
    </row>
    <row r="103" spans="1:11" x14ac:dyDescent="0.2">
      <c r="A103" t="s">
        <v>76</v>
      </c>
      <c r="B103" t="s">
        <v>191</v>
      </c>
      <c r="C103" t="s">
        <v>190</v>
      </c>
      <c r="D103">
        <v>7</v>
      </c>
      <c r="E103">
        <v>5</v>
      </c>
      <c r="F103">
        <v>5</v>
      </c>
      <c r="G103">
        <v>5</v>
      </c>
      <c r="H103">
        <v>0.48130000000000001</v>
      </c>
      <c r="I103">
        <v>4.88</v>
      </c>
      <c r="J103">
        <v>642.58000000000004</v>
      </c>
      <c r="K103">
        <v>25</v>
      </c>
    </row>
    <row r="104" spans="1:11" x14ac:dyDescent="0.2">
      <c r="A104" t="s">
        <v>76</v>
      </c>
      <c r="B104" t="s">
        <v>191</v>
      </c>
      <c r="C104" t="s">
        <v>192</v>
      </c>
      <c r="D104">
        <v>4</v>
      </c>
      <c r="E104">
        <v>5</v>
      </c>
      <c r="F104">
        <v>5</v>
      </c>
      <c r="G104">
        <v>4</v>
      </c>
      <c r="H104">
        <v>0.47699999999999998</v>
      </c>
      <c r="I104">
        <v>4.5</v>
      </c>
      <c r="J104">
        <v>293.42</v>
      </c>
      <c r="K104">
        <v>17</v>
      </c>
    </row>
    <row r="105" spans="1:11" x14ac:dyDescent="0.2">
      <c r="A105" t="s">
        <v>76</v>
      </c>
      <c r="B105" t="s">
        <v>191</v>
      </c>
      <c r="C105" t="s">
        <v>192</v>
      </c>
      <c r="D105">
        <v>2</v>
      </c>
      <c r="E105">
        <v>5</v>
      </c>
      <c r="F105">
        <v>4</v>
      </c>
      <c r="G105">
        <v>5</v>
      </c>
      <c r="H105">
        <v>0.46510000000000001</v>
      </c>
      <c r="I105">
        <v>4.75</v>
      </c>
      <c r="J105">
        <v>254.03</v>
      </c>
      <c r="K105">
        <v>8</v>
      </c>
    </row>
    <row r="106" spans="1:11" x14ac:dyDescent="0.2">
      <c r="A106" t="s">
        <v>76</v>
      </c>
      <c r="B106" t="s">
        <v>191</v>
      </c>
      <c r="C106" t="s">
        <v>192</v>
      </c>
      <c r="D106">
        <v>5</v>
      </c>
      <c r="E106">
        <v>5</v>
      </c>
      <c r="F106">
        <v>5</v>
      </c>
      <c r="G106">
        <v>4</v>
      </c>
      <c r="H106">
        <v>0.46160000000000001</v>
      </c>
      <c r="I106">
        <v>4.54</v>
      </c>
      <c r="J106">
        <v>415.31</v>
      </c>
      <c r="K106">
        <v>21</v>
      </c>
    </row>
    <row r="107" spans="1:11" x14ac:dyDescent="0.2">
      <c r="A107" t="s">
        <v>76</v>
      </c>
      <c r="B107" t="s">
        <v>191</v>
      </c>
      <c r="C107" t="s">
        <v>192</v>
      </c>
      <c r="D107">
        <v>4</v>
      </c>
      <c r="E107">
        <v>5</v>
      </c>
      <c r="F107">
        <v>5</v>
      </c>
      <c r="G107">
        <v>5</v>
      </c>
      <c r="H107">
        <v>0.4602</v>
      </c>
      <c r="I107">
        <v>4.75</v>
      </c>
      <c r="J107">
        <v>433.14</v>
      </c>
      <c r="K107">
        <v>66</v>
      </c>
    </row>
    <row r="108" spans="1:11" x14ac:dyDescent="0.2">
      <c r="A108" t="s">
        <v>76</v>
      </c>
      <c r="B108" t="s">
        <v>193</v>
      </c>
      <c r="C108" t="s">
        <v>190</v>
      </c>
      <c r="D108">
        <v>2</v>
      </c>
      <c r="E108">
        <v>5</v>
      </c>
      <c r="F108">
        <v>5</v>
      </c>
      <c r="G108">
        <v>5</v>
      </c>
      <c r="H108">
        <v>0.45839999999999997</v>
      </c>
      <c r="I108">
        <v>4.9000000000000004</v>
      </c>
      <c r="J108">
        <v>233.84</v>
      </c>
      <c r="K108">
        <v>898</v>
      </c>
    </row>
    <row r="109" spans="1:11" x14ac:dyDescent="0.2">
      <c r="A109" t="s">
        <v>76</v>
      </c>
      <c r="B109" t="s">
        <v>191</v>
      </c>
      <c r="C109" t="s">
        <v>192</v>
      </c>
      <c r="D109">
        <v>4</v>
      </c>
      <c r="E109">
        <v>4</v>
      </c>
      <c r="F109">
        <v>5</v>
      </c>
      <c r="G109">
        <v>4</v>
      </c>
      <c r="H109">
        <v>0.45369999999999999</v>
      </c>
      <c r="I109">
        <v>4.34</v>
      </c>
      <c r="J109">
        <v>270.92</v>
      </c>
      <c r="K109">
        <v>29</v>
      </c>
    </row>
    <row r="110" spans="1:11" x14ac:dyDescent="0.2">
      <c r="A110" t="s">
        <v>76</v>
      </c>
      <c r="B110" t="s">
        <v>191</v>
      </c>
      <c r="C110" t="s">
        <v>192</v>
      </c>
      <c r="D110">
        <v>2</v>
      </c>
      <c r="E110">
        <v>5</v>
      </c>
      <c r="F110">
        <v>5</v>
      </c>
      <c r="G110">
        <v>4</v>
      </c>
      <c r="H110">
        <v>0.45029999999999998</v>
      </c>
      <c r="I110">
        <v>4.58</v>
      </c>
      <c r="J110">
        <v>261.64999999999998</v>
      </c>
      <c r="K110">
        <v>23</v>
      </c>
    </row>
    <row r="111" spans="1:11" x14ac:dyDescent="0.2">
      <c r="A111" t="s">
        <v>76</v>
      </c>
      <c r="B111" t="s">
        <v>191</v>
      </c>
      <c r="C111" t="s">
        <v>190</v>
      </c>
      <c r="D111">
        <v>2</v>
      </c>
      <c r="E111">
        <v>5</v>
      </c>
      <c r="F111">
        <v>5</v>
      </c>
      <c r="G111">
        <v>5</v>
      </c>
      <c r="H111">
        <v>0.4496</v>
      </c>
      <c r="I111">
        <v>4.8899999999999997</v>
      </c>
      <c r="J111">
        <v>344.72</v>
      </c>
      <c r="K111">
        <v>207</v>
      </c>
    </row>
    <row r="112" spans="1:11" x14ac:dyDescent="0.2">
      <c r="A112" t="s">
        <v>76</v>
      </c>
      <c r="B112" t="s">
        <v>194</v>
      </c>
      <c r="C112" t="s">
        <v>190</v>
      </c>
      <c r="D112">
        <v>2</v>
      </c>
      <c r="E112">
        <v>5</v>
      </c>
      <c r="F112">
        <v>5</v>
      </c>
      <c r="G112">
        <v>5</v>
      </c>
      <c r="H112">
        <v>0.44159999999999999</v>
      </c>
      <c r="I112">
        <v>4.9000000000000004</v>
      </c>
      <c r="J112">
        <v>365.01</v>
      </c>
      <c r="K112">
        <v>20</v>
      </c>
    </row>
    <row r="113" spans="1:11" x14ac:dyDescent="0.2">
      <c r="A113" t="s">
        <v>76</v>
      </c>
      <c r="B113" t="s">
        <v>193</v>
      </c>
      <c r="C113" t="s">
        <v>192</v>
      </c>
      <c r="D113">
        <v>4</v>
      </c>
      <c r="E113">
        <v>5</v>
      </c>
      <c r="F113">
        <v>5</v>
      </c>
      <c r="G113">
        <v>5</v>
      </c>
      <c r="H113">
        <v>0.43669999999999998</v>
      </c>
      <c r="I113">
        <v>4.82</v>
      </c>
      <c r="J113">
        <v>651.95000000000005</v>
      </c>
      <c r="K113">
        <v>54</v>
      </c>
    </row>
    <row r="114" spans="1:11" x14ac:dyDescent="0.2">
      <c r="A114" t="s">
        <v>76</v>
      </c>
      <c r="B114" t="s">
        <v>191</v>
      </c>
      <c r="C114" t="s">
        <v>190</v>
      </c>
      <c r="D114">
        <v>4</v>
      </c>
      <c r="E114">
        <v>5</v>
      </c>
      <c r="F114">
        <v>5</v>
      </c>
      <c r="G114">
        <v>4</v>
      </c>
      <c r="H114">
        <v>0.43559999999999999</v>
      </c>
      <c r="I114">
        <v>4.78</v>
      </c>
      <c r="J114">
        <v>511.13</v>
      </c>
      <c r="K114">
        <v>5</v>
      </c>
    </row>
    <row r="115" spans="1:11" x14ac:dyDescent="0.2">
      <c r="A115" t="s">
        <v>76</v>
      </c>
      <c r="B115" t="s">
        <v>193</v>
      </c>
      <c r="C115" t="s">
        <v>13</v>
      </c>
      <c r="D115">
        <v>4</v>
      </c>
      <c r="E115">
        <v>4</v>
      </c>
      <c r="F115">
        <v>4</v>
      </c>
      <c r="G115">
        <v>4</v>
      </c>
      <c r="H115">
        <v>0.43469999999999998</v>
      </c>
      <c r="I115">
        <v>4.05</v>
      </c>
      <c r="J115">
        <v>329.6</v>
      </c>
      <c r="K115">
        <v>6</v>
      </c>
    </row>
    <row r="116" spans="1:11" x14ac:dyDescent="0.2">
      <c r="A116" t="s">
        <v>76</v>
      </c>
      <c r="B116" t="s">
        <v>191</v>
      </c>
      <c r="C116" t="s">
        <v>192</v>
      </c>
      <c r="D116">
        <v>4</v>
      </c>
      <c r="E116">
        <v>4</v>
      </c>
      <c r="F116">
        <v>5</v>
      </c>
      <c r="G116">
        <v>5</v>
      </c>
      <c r="H116">
        <v>0.43390000000000001</v>
      </c>
      <c r="I116">
        <v>4.62</v>
      </c>
      <c r="J116">
        <v>200.5</v>
      </c>
      <c r="K116">
        <v>8</v>
      </c>
    </row>
    <row r="117" spans="1:11" x14ac:dyDescent="0.2">
      <c r="A117" t="s">
        <v>76</v>
      </c>
      <c r="B117" t="s">
        <v>191</v>
      </c>
      <c r="C117" t="s">
        <v>192</v>
      </c>
      <c r="D117">
        <v>5</v>
      </c>
      <c r="E117">
        <v>5</v>
      </c>
      <c r="F117">
        <v>5</v>
      </c>
      <c r="G117">
        <v>5</v>
      </c>
      <c r="H117">
        <v>0.432</v>
      </c>
      <c r="I117">
        <v>4.78</v>
      </c>
      <c r="J117">
        <v>459.83</v>
      </c>
      <c r="K117">
        <v>29</v>
      </c>
    </row>
    <row r="118" spans="1:11" x14ac:dyDescent="0.2">
      <c r="A118" t="s">
        <v>76</v>
      </c>
      <c r="B118" t="s">
        <v>191</v>
      </c>
      <c r="C118" t="s">
        <v>190</v>
      </c>
      <c r="D118">
        <v>6</v>
      </c>
      <c r="E118">
        <v>5</v>
      </c>
      <c r="F118">
        <v>5</v>
      </c>
      <c r="G118">
        <v>5</v>
      </c>
      <c r="H118">
        <v>0.42609999999999998</v>
      </c>
      <c r="I118">
        <v>4.87</v>
      </c>
      <c r="J118">
        <v>561.66</v>
      </c>
      <c r="K118">
        <v>100</v>
      </c>
    </row>
    <row r="119" spans="1:11" x14ac:dyDescent="0.2">
      <c r="A119" t="s">
        <v>76</v>
      </c>
      <c r="B119" t="s">
        <v>191</v>
      </c>
      <c r="C119" t="s">
        <v>192</v>
      </c>
      <c r="D119">
        <v>6</v>
      </c>
      <c r="E119">
        <v>5</v>
      </c>
      <c r="F119">
        <v>5</v>
      </c>
      <c r="G119">
        <v>5</v>
      </c>
      <c r="H119">
        <v>0.41889999999999999</v>
      </c>
      <c r="I119">
        <v>4.72</v>
      </c>
      <c r="J119">
        <v>506.54</v>
      </c>
      <c r="K119">
        <v>50</v>
      </c>
    </row>
    <row r="120" spans="1:11" x14ac:dyDescent="0.2">
      <c r="A120" t="s">
        <v>76</v>
      </c>
      <c r="B120" t="s">
        <v>191</v>
      </c>
      <c r="C120" t="s">
        <v>190</v>
      </c>
      <c r="D120">
        <v>12</v>
      </c>
      <c r="E120">
        <v>5</v>
      </c>
      <c r="F120">
        <v>5</v>
      </c>
      <c r="G120">
        <v>5</v>
      </c>
      <c r="H120">
        <v>0.41749999999999998</v>
      </c>
      <c r="I120">
        <v>4.91</v>
      </c>
      <c r="J120">
        <v>649.62</v>
      </c>
      <c r="K120">
        <v>5</v>
      </c>
    </row>
    <row r="121" spans="1:11" x14ac:dyDescent="0.2">
      <c r="A121" t="s">
        <v>76</v>
      </c>
      <c r="B121" t="s">
        <v>191</v>
      </c>
      <c r="C121" t="s">
        <v>192</v>
      </c>
      <c r="D121">
        <v>7</v>
      </c>
      <c r="E121">
        <v>5</v>
      </c>
      <c r="F121">
        <v>5</v>
      </c>
      <c r="G121">
        <v>5</v>
      </c>
      <c r="H121">
        <v>0.40839999999999999</v>
      </c>
      <c r="I121">
        <v>4.76</v>
      </c>
      <c r="J121">
        <v>508.89</v>
      </c>
      <c r="K121">
        <v>15</v>
      </c>
    </row>
    <row r="122" spans="1:11" x14ac:dyDescent="0.2">
      <c r="A122" t="s">
        <v>76</v>
      </c>
      <c r="B122" t="s">
        <v>191</v>
      </c>
      <c r="C122" t="s">
        <v>192</v>
      </c>
      <c r="D122">
        <v>2</v>
      </c>
      <c r="E122">
        <v>4</v>
      </c>
      <c r="F122">
        <v>5</v>
      </c>
      <c r="G122">
        <v>4</v>
      </c>
      <c r="H122">
        <v>0.4083</v>
      </c>
      <c r="I122">
        <v>4.34</v>
      </c>
      <c r="J122">
        <v>175.73</v>
      </c>
      <c r="K122">
        <v>22</v>
      </c>
    </row>
    <row r="123" spans="1:11" x14ac:dyDescent="0.2">
      <c r="A123" t="s">
        <v>76</v>
      </c>
      <c r="B123" t="s">
        <v>191</v>
      </c>
      <c r="C123" t="s">
        <v>190</v>
      </c>
      <c r="D123">
        <v>4</v>
      </c>
      <c r="E123">
        <v>5</v>
      </c>
      <c r="F123">
        <v>5</v>
      </c>
      <c r="G123">
        <v>5</v>
      </c>
      <c r="H123">
        <v>0.40460000000000002</v>
      </c>
      <c r="I123">
        <v>4.88</v>
      </c>
      <c r="J123">
        <v>458.99</v>
      </c>
      <c r="K123">
        <v>139</v>
      </c>
    </row>
    <row r="124" spans="1:11" x14ac:dyDescent="0.2">
      <c r="A124" t="s">
        <v>76</v>
      </c>
      <c r="B124" t="s">
        <v>193</v>
      </c>
      <c r="C124" t="s">
        <v>190</v>
      </c>
      <c r="D124">
        <v>3</v>
      </c>
      <c r="E124">
        <v>5</v>
      </c>
      <c r="F124">
        <v>5</v>
      </c>
      <c r="G124">
        <v>5</v>
      </c>
      <c r="H124">
        <v>0.40050000000000002</v>
      </c>
      <c r="I124">
        <v>4.8600000000000003</v>
      </c>
      <c r="J124">
        <v>287.39</v>
      </c>
      <c r="K124">
        <v>21</v>
      </c>
    </row>
    <row r="125" spans="1:11" x14ac:dyDescent="0.2">
      <c r="A125" t="s">
        <v>76</v>
      </c>
      <c r="B125" t="s">
        <v>191</v>
      </c>
      <c r="C125" t="s">
        <v>192</v>
      </c>
      <c r="D125">
        <v>4</v>
      </c>
      <c r="E125">
        <v>5</v>
      </c>
      <c r="F125">
        <v>4</v>
      </c>
      <c r="G125">
        <v>5</v>
      </c>
      <c r="H125">
        <v>0.39319999999999999</v>
      </c>
      <c r="I125">
        <v>4.79</v>
      </c>
      <c r="J125">
        <v>356.03</v>
      </c>
      <c r="K125">
        <v>8</v>
      </c>
    </row>
    <row r="126" spans="1:11" x14ac:dyDescent="0.2">
      <c r="A126" t="s">
        <v>76</v>
      </c>
      <c r="B126" t="s">
        <v>193</v>
      </c>
      <c r="C126" t="s">
        <v>190</v>
      </c>
      <c r="D126">
        <v>2</v>
      </c>
      <c r="E126">
        <v>5</v>
      </c>
      <c r="F126">
        <v>4</v>
      </c>
      <c r="G126">
        <v>5</v>
      </c>
      <c r="H126">
        <v>0.38900000000000001</v>
      </c>
      <c r="I126">
        <v>4.84</v>
      </c>
      <c r="J126">
        <v>222.66</v>
      </c>
      <c r="K126">
        <v>53</v>
      </c>
    </row>
    <row r="127" spans="1:11" x14ac:dyDescent="0.2">
      <c r="A127" t="s">
        <v>76</v>
      </c>
      <c r="B127" t="s">
        <v>193</v>
      </c>
      <c r="C127" t="s">
        <v>192</v>
      </c>
      <c r="D127">
        <v>2</v>
      </c>
      <c r="E127">
        <v>5</v>
      </c>
      <c r="F127">
        <v>5</v>
      </c>
      <c r="G127">
        <v>5</v>
      </c>
      <c r="H127">
        <v>0.38640000000000002</v>
      </c>
      <c r="I127">
        <v>4.82</v>
      </c>
      <c r="J127">
        <v>293.74</v>
      </c>
      <c r="K127">
        <v>376</v>
      </c>
    </row>
    <row r="128" spans="1:11" x14ac:dyDescent="0.2">
      <c r="A128" t="s">
        <v>76</v>
      </c>
      <c r="B128" t="s">
        <v>193</v>
      </c>
      <c r="C128" t="s">
        <v>192</v>
      </c>
      <c r="D128">
        <v>2</v>
      </c>
      <c r="E128">
        <v>5</v>
      </c>
      <c r="F128">
        <v>4</v>
      </c>
      <c r="G128">
        <v>5</v>
      </c>
      <c r="H128">
        <v>0.38450000000000001</v>
      </c>
      <c r="I128">
        <v>4.74</v>
      </c>
      <c r="J128">
        <v>185.04</v>
      </c>
      <c r="K128">
        <v>30</v>
      </c>
    </row>
    <row r="129" spans="1:11" x14ac:dyDescent="0.2">
      <c r="A129" t="s">
        <v>76</v>
      </c>
      <c r="B129" t="s">
        <v>191</v>
      </c>
      <c r="C129" t="s">
        <v>190</v>
      </c>
      <c r="D129">
        <v>5</v>
      </c>
      <c r="E129">
        <v>5</v>
      </c>
      <c r="F129">
        <v>5</v>
      </c>
      <c r="G129">
        <v>5</v>
      </c>
      <c r="H129">
        <v>0.38319999999999999</v>
      </c>
      <c r="I129">
        <v>4.8600000000000003</v>
      </c>
      <c r="J129">
        <v>513.79</v>
      </c>
      <c r="K129">
        <v>32</v>
      </c>
    </row>
    <row r="130" spans="1:11" x14ac:dyDescent="0.2">
      <c r="A130" t="s">
        <v>76</v>
      </c>
      <c r="B130" t="s">
        <v>191</v>
      </c>
      <c r="C130" t="s">
        <v>190</v>
      </c>
      <c r="D130">
        <v>2</v>
      </c>
      <c r="E130">
        <v>5</v>
      </c>
      <c r="F130">
        <v>4</v>
      </c>
      <c r="G130">
        <v>5</v>
      </c>
      <c r="H130">
        <v>0.38109999999999999</v>
      </c>
      <c r="I130">
        <v>4.8</v>
      </c>
      <c r="J130">
        <v>277.93</v>
      </c>
      <c r="K130">
        <v>11</v>
      </c>
    </row>
    <row r="131" spans="1:11" x14ac:dyDescent="0.2">
      <c r="A131" t="s">
        <v>76</v>
      </c>
      <c r="B131" t="s">
        <v>193</v>
      </c>
      <c r="C131" t="s">
        <v>190</v>
      </c>
      <c r="D131">
        <v>5</v>
      </c>
      <c r="E131">
        <v>5</v>
      </c>
      <c r="F131">
        <v>5</v>
      </c>
      <c r="G131">
        <v>5</v>
      </c>
      <c r="H131">
        <v>0.37809999999999999</v>
      </c>
      <c r="I131">
        <v>4.93</v>
      </c>
      <c r="J131">
        <v>360.14</v>
      </c>
      <c r="K131">
        <v>7</v>
      </c>
    </row>
    <row r="132" spans="1:11" x14ac:dyDescent="0.2">
      <c r="A132" t="s">
        <v>76</v>
      </c>
      <c r="B132" t="s">
        <v>193</v>
      </c>
      <c r="C132" t="s">
        <v>192</v>
      </c>
      <c r="D132">
        <v>2</v>
      </c>
      <c r="E132">
        <v>4</v>
      </c>
      <c r="F132">
        <v>5</v>
      </c>
      <c r="G132">
        <v>4</v>
      </c>
      <c r="H132">
        <v>0.37709999999999999</v>
      </c>
      <c r="I132">
        <v>4.26</v>
      </c>
      <c r="J132">
        <v>245.56</v>
      </c>
      <c r="K132">
        <v>66</v>
      </c>
    </row>
    <row r="133" spans="1:11" x14ac:dyDescent="0.2">
      <c r="A133" t="s">
        <v>76</v>
      </c>
      <c r="B133" t="s">
        <v>191</v>
      </c>
      <c r="C133" t="s">
        <v>190</v>
      </c>
      <c r="D133">
        <v>8</v>
      </c>
      <c r="E133">
        <v>5</v>
      </c>
      <c r="F133">
        <v>5</v>
      </c>
      <c r="G133">
        <v>5</v>
      </c>
      <c r="H133">
        <v>0.36599999999999999</v>
      </c>
      <c r="I133">
        <v>4.8499999999999996</v>
      </c>
      <c r="J133">
        <v>767.93</v>
      </c>
      <c r="K133">
        <v>40</v>
      </c>
    </row>
    <row r="134" spans="1:11" x14ac:dyDescent="0.2">
      <c r="A134" t="s">
        <v>76</v>
      </c>
      <c r="B134" t="s">
        <v>193</v>
      </c>
      <c r="C134" t="s">
        <v>13</v>
      </c>
      <c r="D134">
        <v>2</v>
      </c>
      <c r="E134">
        <v>4</v>
      </c>
      <c r="F134">
        <v>4</v>
      </c>
      <c r="G134">
        <v>3</v>
      </c>
      <c r="H134">
        <v>0.3644</v>
      </c>
      <c r="I134">
        <v>3.61</v>
      </c>
      <c r="J134">
        <v>243.88</v>
      </c>
      <c r="K134">
        <v>6</v>
      </c>
    </row>
    <row r="135" spans="1:11" x14ac:dyDescent="0.2">
      <c r="A135" t="s">
        <v>76</v>
      </c>
      <c r="B135" t="s">
        <v>191</v>
      </c>
      <c r="C135" t="s">
        <v>192</v>
      </c>
      <c r="D135">
        <v>8</v>
      </c>
      <c r="E135">
        <v>5</v>
      </c>
      <c r="F135">
        <v>4</v>
      </c>
      <c r="G135">
        <v>5</v>
      </c>
      <c r="H135">
        <v>0.36249999999999999</v>
      </c>
      <c r="I135">
        <v>4.6900000000000004</v>
      </c>
      <c r="J135">
        <v>414.61</v>
      </c>
      <c r="K135">
        <v>9</v>
      </c>
    </row>
    <row r="136" spans="1:11" x14ac:dyDescent="0.2">
      <c r="A136" t="s">
        <v>76</v>
      </c>
      <c r="B136" t="s">
        <v>193</v>
      </c>
      <c r="C136" t="s">
        <v>190</v>
      </c>
      <c r="D136">
        <v>6</v>
      </c>
      <c r="E136">
        <v>5</v>
      </c>
      <c r="F136">
        <v>5</v>
      </c>
      <c r="G136">
        <v>5</v>
      </c>
      <c r="H136">
        <v>0.35709999999999997</v>
      </c>
      <c r="I136">
        <v>4.93</v>
      </c>
      <c r="J136">
        <v>648.21</v>
      </c>
      <c r="K136">
        <v>25</v>
      </c>
    </row>
    <row r="137" spans="1:11" x14ac:dyDescent="0.2">
      <c r="A137" t="s">
        <v>76</v>
      </c>
      <c r="B137" t="s">
        <v>193</v>
      </c>
      <c r="C137" t="s">
        <v>190</v>
      </c>
      <c r="D137">
        <v>4</v>
      </c>
      <c r="E137">
        <v>5</v>
      </c>
      <c r="F137">
        <v>5</v>
      </c>
      <c r="G137">
        <v>5</v>
      </c>
      <c r="H137">
        <v>0.35539999999999999</v>
      </c>
      <c r="I137">
        <v>4.87</v>
      </c>
      <c r="J137">
        <v>463.34</v>
      </c>
      <c r="K137">
        <v>72</v>
      </c>
    </row>
    <row r="138" spans="1:11" x14ac:dyDescent="0.2">
      <c r="A138" t="s">
        <v>76</v>
      </c>
      <c r="B138" t="s">
        <v>193</v>
      </c>
      <c r="C138" t="s">
        <v>192</v>
      </c>
      <c r="D138">
        <v>4</v>
      </c>
      <c r="E138">
        <v>5</v>
      </c>
      <c r="F138">
        <v>5</v>
      </c>
      <c r="G138">
        <v>4</v>
      </c>
      <c r="H138">
        <v>0.3493</v>
      </c>
      <c r="I138">
        <v>4.5599999999999996</v>
      </c>
      <c r="J138">
        <v>404.88</v>
      </c>
      <c r="K138">
        <v>20</v>
      </c>
    </row>
    <row r="139" spans="1:11" x14ac:dyDescent="0.2">
      <c r="A139" t="s">
        <v>76</v>
      </c>
      <c r="B139" t="s">
        <v>193</v>
      </c>
      <c r="C139" t="s">
        <v>192</v>
      </c>
      <c r="D139">
        <v>2</v>
      </c>
      <c r="E139">
        <v>5</v>
      </c>
      <c r="F139">
        <v>5</v>
      </c>
      <c r="G139">
        <v>4</v>
      </c>
      <c r="H139">
        <v>0.33910000000000001</v>
      </c>
      <c r="I139">
        <v>4.4800000000000004</v>
      </c>
      <c r="J139">
        <v>302.45999999999998</v>
      </c>
      <c r="K139">
        <v>79</v>
      </c>
    </row>
    <row r="140" spans="1:11" x14ac:dyDescent="0.2">
      <c r="A140" t="s">
        <v>76</v>
      </c>
      <c r="B140" t="s">
        <v>193</v>
      </c>
      <c r="C140" t="s">
        <v>13</v>
      </c>
      <c r="D140">
        <v>3</v>
      </c>
      <c r="E140">
        <v>5</v>
      </c>
      <c r="F140">
        <v>5</v>
      </c>
      <c r="G140">
        <v>5</v>
      </c>
      <c r="H140">
        <v>0.33150000000000002</v>
      </c>
      <c r="I140">
        <v>4.82</v>
      </c>
      <c r="J140">
        <v>392.34</v>
      </c>
      <c r="K140">
        <v>6</v>
      </c>
    </row>
    <row r="141" spans="1:11" x14ac:dyDescent="0.2">
      <c r="A141" t="s">
        <v>76</v>
      </c>
      <c r="B141" t="s">
        <v>189</v>
      </c>
      <c r="C141" t="s">
        <v>192</v>
      </c>
      <c r="D141">
        <v>2</v>
      </c>
      <c r="E141">
        <v>5</v>
      </c>
      <c r="F141">
        <v>5</v>
      </c>
      <c r="G141">
        <v>4</v>
      </c>
      <c r="H141">
        <v>0.32469999999999999</v>
      </c>
      <c r="I141">
        <v>4.6100000000000003</v>
      </c>
      <c r="J141">
        <v>527.05999999999995</v>
      </c>
      <c r="K141">
        <v>16</v>
      </c>
    </row>
    <row r="142" spans="1:11" x14ac:dyDescent="0.2">
      <c r="A142" t="s">
        <v>76</v>
      </c>
      <c r="B142" t="s">
        <v>191</v>
      </c>
      <c r="C142" t="s">
        <v>190</v>
      </c>
      <c r="D142">
        <v>2</v>
      </c>
      <c r="E142">
        <v>5</v>
      </c>
      <c r="F142">
        <v>5</v>
      </c>
      <c r="G142">
        <v>4</v>
      </c>
      <c r="H142">
        <v>0.32269999999999999</v>
      </c>
      <c r="I142">
        <v>4.6100000000000003</v>
      </c>
      <c r="J142">
        <v>366.98</v>
      </c>
      <c r="K142">
        <v>9</v>
      </c>
    </row>
    <row r="143" spans="1:11" x14ac:dyDescent="0.2">
      <c r="A143" t="s">
        <v>76</v>
      </c>
      <c r="B143" t="s">
        <v>193</v>
      </c>
      <c r="C143" t="s">
        <v>190</v>
      </c>
      <c r="D143">
        <v>1</v>
      </c>
      <c r="E143">
        <v>5</v>
      </c>
      <c r="F143">
        <v>4</v>
      </c>
      <c r="G143">
        <v>5</v>
      </c>
      <c r="H143">
        <v>0.30649999999999999</v>
      </c>
      <c r="I143">
        <v>4.8499999999999996</v>
      </c>
      <c r="J143">
        <v>103.3</v>
      </c>
      <c r="K143">
        <v>7</v>
      </c>
    </row>
    <row r="144" spans="1:11" x14ac:dyDescent="0.2">
      <c r="A144" t="s">
        <v>76</v>
      </c>
      <c r="B144" t="s">
        <v>191</v>
      </c>
      <c r="C144" t="s">
        <v>190</v>
      </c>
      <c r="D144">
        <v>16</v>
      </c>
      <c r="E144">
        <v>5</v>
      </c>
      <c r="F144">
        <v>5</v>
      </c>
      <c r="G144">
        <v>5</v>
      </c>
      <c r="H144">
        <v>0.30630000000000002</v>
      </c>
      <c r="I144">
        <v>4.92</v>
      </c>
      <c r="J144">
        <v>1698.06</v>
      </c>
      <c r="K144">
        <v>5</v>
      </c>
    </row>
    <row r="145" spans="1:11" x14ac:dyDescent="0.2">
      <c r="A145" t="s">
        <v>76</v>
      </c>
      <c r="B145" t="s">
        <v>193</v>
      </c>
      <c r="C145" t="s">
        <v>192</v>
      </c>
      <c r="D145">
        <v>1</v>
      </c>
      <c r="E145">
        <v>4</v>
      </c>
      <c r="F145">
        <v>5</v>
      </c>
      <c r="G145">
        <v>5</v>
      </c>
      <c r="H145">
        <v>0.30299999999999999</v>
      </c>
      <c r="I145">
        <v>4.55</v>
      </c>
      <c r="J145">
        <v>149.44</v>
      </c>
      <c r="K145">
        <v>10</v>
      </c>
    </row>
    <row r="146" spans="1:11" x14ac:dyDescent="0.2">
      <c r="A146" t="s">
        <v>76</v>
      </c>
      <c r="B146" t="s">
        <v>193</v>
      </c>
      <c r="C146" t="s">
        <v>192</v>
      </c>
      <c r="D146">
        <v>1</v>
      </c>
      <c r="E146">
        <v>4</v>
      </c>
      <c r="F146">
        <v>5</v>
      </c>
      <c r="G146">
        <v>4</v>
      </c>
      <c r="H146">
        <v>0.30159999999999998</v>
      </c>
      <c r="I146">
        <v>4.29</v>
      </c>
      <c r="J146">
        <v>162.81</v>
      </c>
      <c r="K146">
        <v>12</v>
      </c>
    </row>
    <row r="147" spans="1:11" x14ac:dyDescent="0.2">
      <c r="A147" t="s">
        <v>76</v>
      </c>
      <c r="B147" t="s">
        <v>189</v>
      </c>
      <c r="C147" t="s">
        <v>192</v>
      </c>
      <c r="D147">
        <v>2</v>
      </c>
      <c r="E147">
        <v>5</v>
      </c>
      <c r="F147">
        <v>5</v>
      </c>
      <c r="G147">
        <v>5</v>
      </c>
      <c r="H147">
        <v>0.29249999999999998</v>
      </c>
      <c r="I147">
        <v>4.7699999999999996</v>
      </c>
      <c r="J147">
        <v>585.17999999999995</v>
      </c>
      <c r="K147">
        <v>28</v>
      </c>
    </row>
    <row r="148" spans="1:11" x14ac:dyDescent="0.2">
      <c r="A148" t="s">
        <v>76</v>
      </c>
      <c r="B148" t="s">
        <v>191</v>
      </c>
      <c r="C148" t="s">
        <v>192</v>
      </c>
      <c r="D148">
        <v>10</v>
      </c>
      <c r="E148">
        <v>5</v>
      </c>
      <c r="F148">
        <v>5</v>
      </c>
      <c r="G148">
        <v>5</v>
      </c>
      <c r="H148">
        <v>0.28999999999999998</v>
      </c>
      <c r="I148">
        <v>4.84</v>
      </c>
      <c r="J148">
        <v>577.63</v>
      </c>
      <c r="K148">
        <v>6</v>
      </c>
    </row>
    <row r="149" spans="1:11" x14ac:dyDescent="0.2">
      <c r="A149" t="s">
        <v>76</v>
      </c>
      <c r="B149" t="s">
        <v>193</v>
      </c>
      <c r="C149" t="s">
        <v>13</v>
      </c>
      <c r="D149">
        <v>4</v>
      </c>
      <c r="E149">
        <v>5</v>
      </c>
      <c r="F149">
        <v>5</v>
      </c>
      <c r="G149">
        <v>4</v>
      </c>
      <c r="H149">
        <v>0.28870000000000001</v>
      </c>
      <c r="I149">
        <v>4.58</v>
      </c>
      <c r="J149">
        <v>283.81</v>
      </c>
      <c r="K149">
        <v>11</v>
      </c>
    </row>
    <row r="150" spans="1:11" x14ac:dyDescent="0.2">
      <c r="A150" t="s">
        <v>76</v>
      </c>
      <c r="B150" t="s">
        <v>191</v>
      </c>
      <c r="C150" t="s">
        <v>192</v>
      </c>
      <c r="D150">
        <v>10</v>
      </c>
      <c r="E150">
        <v>4</v>
      </c>
      <c r="F150">
        <v>5</v>
      </c>
      <c r="G150">
        <v>4</v>
      </c>
      <c r="H150">
        <v>0.28660000000000002</v>
      </c>
      <c r="I150">
        <v>4.25</v>
      </c>
      <c r="J150">
        <v>354.25</v>
      </c>
      <c r="K150">
        <v>5</v>
      </c>
    </row>
    <row r="151" spans="1:11" x14ac:dyDescent="0.2">
      <c r="A151" t="s">
        <v>76</v>
      </c>
      <c r="B151" t="s">
        <v>193</v>
      </c>
      <c r="C151" t="s">
        <v>192</v>
      </c>
      <c r="D151">
        <v>4</v>
      </c>
      <c r="E151">
        <v>4</v>
      </c>
      <c r="F151">
        <v>5</v>
      </c>
      <c r="G151">
        <v>4</v>
      </c>
      <c r="H151">
        <v>0.28489999999999999</v>
      </c>
      <c r="I151">
        <v>4.28</v>
      </c>
      <c r="J151">
        <v>340.98</v>
      </c>
      <c r="K151">
        <v>25</v>
      </c>
    </row>
    <row r="152" spans="1:11" x14ac:dyDescent="0.2">
      <c r="A152" t="s">
        <v>76</v>
      </c>
      <c r="B152" t="s">
        <v>191</v>
      </c>
      <c r="C152" t="s">
        <v>192</v>
      </c>
      <c r="D152">
        <v>5</v>
      </c>
      <c r="E152">
        <v>4</v>
      </c>
      <c r="F152">
        <v>5</v>
      </c>
      <c r="G152">
        <v>4</v>
      </c>
      <c r="H152">
        <v>0.28120000000000001</v>
      </c>
      <c r="I152">
        <v>4.43</v>
      </c>
      <c r="J152">
        <v>253.34</v>
      </c>
      <c r="K152">
        <v>14</v>
      </c>
    </row>
    <row r="153" spans="1:11" x14ac:dyDescent="0.2">
      <c r="A153" t="s">
        <v>76</v>
      </c>
      <c r="B153" t="s">
        <v>191</v>
      </c>
      <c r="C153" t="s">
        <v>192</v>
      </c>
      <c r="D153">
        <v>6</v>
      </c>
      <c r="E153">
        <v>4</v>
      </c>
      <c r="F153">
        <v>4</v>
      </c>
      <c r="G153">
        <v>4</v>
      </c>
      <c r="H153">
        <v>0.28039999999999998</v>
      </c>
      <c r="I153">
        <v>4.1500000000000004</v>
      </c>
      <c r="J153">
        <v>455.24</v>
      </c>
      <c r="K153">
        <v>6</v>
      </c>
    </row>
    <row r="154" spans="1:11" x14ac:dyDescent="0.2">
      <c r="A154" t="s">
        <v>76</v>
      </c>
      <c r="B154" t="s">
        <v>191</v>
      </c>
      <c r="C154" t="s">
        <v>192</v>
      </c>
      <c r="D154">
        <v>2</v>
      </c>
      <c r="E154">
        <v>4</v>
      </c>
      <c r="F154">
        <v>5</v>
      </c>
      <c r="G154">
        <v>5</v>
      </c>
      <c r="H154">
        <v>0.27560000000000001</v>
      </c>
      <c r="I154">
        <v>4.32</v>
      </c>
      <c r="J154">
        <v>284.56</v>
      </c>
      <c r="K154">
        <v>5</v>
      </c>
    </row>
    <row r="155" spans="1:11" x14ac:dyDescent="0.2">
      <c r="A155" t="s">
        <v>76</v>
      </c>
      <c r="B155" t="s">
        <v>193</v>
      </c>
      <c r="C155" t="s">
        <v>13</v>
      </c>
      <c r="D155">
        <v>4</v>
      </c>
      <c r="E155">
        <v>4</v>
      </c>
      <c r="F155">
        <v>5</v>
      </c>
      <c r="G155">
        <v>4</v>
      </c>
      <c r="H155">
        <v>0.27400000000000002</v>
      </c>
      <c r="I155">
        <v>4.22</v>
      </c>
      <c r="J155">
        <v>252.5</v>
      </c>
      <c r="K155">
        <v>5</v>
      </c>
    </row>
    <row r="156" spans="1:11" x14ac:dyDescent="0.2">
      <c r="A156" t="s">
        <v>76</v>
      </c>
      <c r="B156" t="s">
        <v>193</v>
      </c>
      <c r="C156" t="s">
        <v>13</v>
      </c>
      <c r="D156">
        <v>2</v>
      </c>
      <c r="E156">
        <v>5</v>
      </c>
      <c r="F156">
        <v>5</v>
      </c>
      <c r="G156">
        <v>5</v>
      </c>
      <c r="H156">
        <v>0.27029999999999998</v>
      </c>
      <c r="I156">
        <v>4.8499999999999996</v>
      </c>
      <c r="J156">
        <v>327.98</v>
      </c>
      <c r="K156">
        <v>161</v>
      </c>
    </row>
    <row r="157" spans="1:11" x14ac:dyDescent="0.2">
      <c r="A157" t="s">
        <v>76</v>
      </c>
      <c r="B157" t="s">
        <v>193</v>
      </c>
      <c r="C157" t="s">
        <v>13</v>
      </c>
      <c r="D157">
        <v>2</v>
      </c>
      <c r="E157">
        <v>5</v>
      </c>
      <c r="F157">
        <v>5</v>
      </c>
      <c r="G157">
        <v>4</v>
      </c>
      <c r="H157">
        <v>0.26779999999999998</v>
      </c>
      <c r="I157">
        <v>4.58</v>
      </c>
      <c r="J157">
        <v>308.81</v>
      </c>
      <c r="K157">
        <v>59</v>
      </c>
    </row>
    <row r="158" spans="1:11" x14ac:dyDescent="0.2">
      <c r="A158" t="s">
        <v>76</v>
      </c>
      <c r="B158" t="s">
        <v>193</v>
      </c>
      <c r="C158" t="s">
        <v>192</v>
      </c>
      <c r="D158">
        <v>2</v>
      </c>
      <c r="E158">
        <v>4</v>
      </c>
      <c r="F158">
        <v>4</v>
      </c>
      <c r="G158">
        <v>4</v>
      </c>
      <c r="H158">
        <v>0.26529999999999998</v>
      </c>
      <c r="I158">
        <v>4.22</v>
      </c>
      <c r="J158">
        <v>188.19</v>
      </c>
      <c r="K158">
        <v>18</v>
      </c>
    </row>
    <row r="159" spans="1:11" x14ac:dyDescent="0.2">
      <c r="A159" t="s">
        <v>76</v>
      </c>
      <c r="B159" t="s">
        <v>194</v>
      </c>
      <c r="C159" t="s">
        <v>192</v>
      </c>
      <c r="D159">
        <v>2</v>
      </c>
      <c r="E159">
        <v>5</v>
      </c>
      <c r="F159">
        <v>5</v>
      </c>
      <c r="G159">
        <v>5</v>
      </c>
      <c r="H159">
        <v>0.26200000000000001</v>
      </c>
      <c r="I159">
        <v>4.74</v>
      </c>
      <c r="J159">
        <v>218.65</v>
      </c>
      <c r="K159">
        <v>8</v>
      </c>
    </row>
    <row r="160" spans="1:11" x14ac:dyDescent="0.2">
      <c r="A160" t="s">
        <v>76</v>
      </c>
      <c r="B160" t="s">
        <v>193</v>
      </c>
      <c r="C160" t="s">
        <v>192</v>
      </c>
      <c r="D160">
        <v>3</v>
      </c>
      <c r="E160">
        <v>5</v>
      </c>
      <c r="F160">
        <v>5</v>
      </c>
      <c r="G160">
        <v>5</v>
      </c>
      <c r="H160">
        <v>0.25950000000000001</v>
      </c>
      <c r="I160">
        <v>4.87</v>
      </c>
      <c r="J160">
        <v>335.77</v>
      </c>
      <c r="K160">
        <v>15</v>
      </c>
    </row>
    <row r="161" spans="1:11" x14ac:dyDescent="0.2">
      <c r="A161" t="s">
        <v>76</v>
      </c>
      <c r="B161" t="s">
        <v>189</v>
      </c>
      <c r="C161" t="s">
        <v>192</v>
      </c>
      <c r="D161">
        <v>4</v>
      </c>
      <c r="E161">
        <v>5</v>
      </c>
      <c r="F161">
        <v>5</v>
      </c>
      <c r="G161">
        <v>5</v>
      </c>
      <c r="H161">
        <v>0.23860000000000001</v>
      </c>
      <c r="I161">
        <v>4.8499999999999996</v>
      </c>
      <c r="J161">
        <v>784.66</v>
      </c>
      <c r="K161">
        <v>11</v>
      </c>
    </row>
    <row r="162" spans="1:11" x14ac:dyDescent="0.2">
      <c r="A162" t="s">
        <v>76</v>
      </c>
      <c r="B162" t="s">
        <v>193</v>
      </c>
      <c r="C162" t="s">
        <v>192</v>
      </c>
      <c r="D162">
        <v>2</v>
      </c>
      <c r="E162">
        <v>5</v>
      </c>
      <c r="F162">
        <v>4</v>
      </c>
      <c r="G162">
        <v>4</v>
      </c>
      <c r="H162">
        <v>0.2384</v>
      </c>
      <c r="I162">
        <v>4.54</v>
      </c>
      <c r="J162">
        <v>195.01</v>
      </c>
      <c r="K162">
        <v>19</v>
      </c>
    </row>
    <row r="163" spans="1:11" x14ac:dyDescent="0.2">
      <c r="A163" t="s">
        <v>76</v>
      </c>
      <c r="B163" t="s">
        <v>189</v>
      </c>
      <c r="C163" t="s">
        <v>192</v>
      </c>
      <c r="D163">
        <v>4</v>
      </c>
      <c r="E163">
        <v>5</v>
      </c>
      <c r="F163">
        <v>5</v>
      </c>
      <c r="G163">
        <v>4</v>
      </c>
      <c r="H163">
        <v>0.2329</v>
      </c>
      <c r="I163">
        <v>4.25</v>
      </c>
      <c r="J163">
        <v>604.66999999999996</v>
      </c>
      <c r="K163">
        <v>6</v>
      </c>
    </row>
    <row r="164" spans="1:11" x14ac:dyDescent="0.2">
      <c r="A164" t="s">
        <v>76</v>
      </c>
      <c r="B164" t="s">
        <v>191</v>
      </c>
      <c r="C164" t="s">
        <v>190</v>
      </c>
      <c r="D164">
        <v>10</v>
      </c>
      <c r="E164">
        <v>5</v>
      </c>
      <c r="F164">
        <v>5</v>
      </c>
      <c r="G164">
        <v>5</v>
      </c>
      <c r="H164">
        <v>0.2316</v>
      </c>
      <c r="I164">
        <v>4.91</v>
      </c>
      <c r="J164">
        <v>1174.94</v>
      </c>
      <c r="K164">
        <v>15</v>
      </c>
    </row>
    <row r="165" spans="1:11" x14ac:dyDescent="0.2">
      <c r="A165" t="s">
        <v>76</v>
      </c>
      <c r="B165" t="s">
        <v>193</v>
      </c>
      <c r="C165" t="s">
        <v>190</v>
      </c>
      <c r="D165">
        <v>8</v>
      </c>
      <c r="E165">
        <v>5</v>
      </c>
      <c r="F165">
        <v>5</v>
      </c>
      <c r="G165">
        <v>5</v>
      </c>
      <c r="H165">
        <v>0.2263</v>
      </c>
      <c r="I165">
        <v>4.8499999999999996</v>
      </c>
      <c r="J165">
        <v>547.28</v>
      </c>
      <c r="K165">
        <v>10</v>
      </c>
    </row>
    <row r="166" spans="1:11" x14ac:dyDescent="0.2">
      <c r="A166" t="s">
        <v>76</v>
      </c>
      <c r="B166" t="s">
        <v>193</v>
      </c>
      <c r="C166" t="s">
        <v>192</v>
      </c>
      <c r="D166">
        <v>1</v>
      </c>
      <c r="E166">
        <v>5</v>
      </c>
      <c r="F166">
        <v>5</v>
      </c>
      <c r="G166">
        <v>4</v>
      </c>
      <c r="H166">
        <v>0.21940000000000001</v>
      </c>
      <c r="I166">
        <v>4.4400000000000004</v>
      </c>
      <c r="J166">
        <v>209.88</v>
      </c>
      <c r="K166">
        <v>12</v>
      </c>
    </row>
    <row r="167" spans="1:11" x14ac:dyDescent="0.2">
      <c r="A167" t="s">
        <v>76</v>
      </c>
      <c r="B167" t="s">
        <v>193</v>
      </c>
      <c r="C167" t="s">
        <v>13</v>
      </c>
      <c r="D167">
        <v>2</v>
      </c>
      <c r="E167">
        <v>4</v>
      </c>
      <c r="F167">
        <v>5</v>
      </c>
      <c r="G167">
        <v>4</v>
      </c>
      <c r="H167">
        <v>0.21360000000000001</v>
      </c>
      <c r="I167">
        <v>4.2</v>
      </c>
      <c r="J167">
        <v>264.62</v>
      </c>
      <c r="K167">
        <v>22</v>
      </c>
    </row>
    <row r="168" spans="1:11" x14ac:dyDescent="0.2">
      <c r="A168" t="s">
        <v>76</v>
      </c>
      <c r="B168" t="s">
        <v>191</v>
      </c>
      <c r="C168" t="s">
        <v>190</v>
      </c>
      <c r="D168">
        <v>14</v>
      </c>
      <c r="E168">
        <v>5</v>
      </c>
      <c r="F168">
        <v>5</v>
      </c>
      <c r="G168">
        <v>5</v>
      </c>
      <c r="H168">
        <v>0.2099</v>
      </c>
      <c r="I168">
        <v>4.8899999999999997</v>
      </c>
      <c r="J168">
        <v>928.19</v>
      </c>
      <c r="K168">
        <v>5</v>
      </c>
    </row>
    <row r="169" spans="1:11" x14ac:dyDescent="0.2">
      <c r="A169" t="s">
        <v>76</v>
      </c>
      <c r="B169" t="s">
        <v>193</v>
      </c>
      <c r="C169" t="s">
        <v>13</v>
      </c>
      <c r="D169">
        <v>2</v>
      </c>
      <c r="E169">
        <v>4</v>
      </c>
      <c r="F169">
        <v>4</v>
      </c>
      <c r="G169">
        <v>4</v>
      </c>
      <c r="H169">
        <v>0.20930000000000001</v>
      </c>
      <c r="I169">
        <v>4.07</v>
      </c>
      <c r="J169">
        <v>237.76</v>
      </c>
      <c r="K169">
        <v>15</v>
      </c>
    </row>
    <row r="170" spans="1:11" x14ac:dyDescent="0.2">
      <c r="A170" t="s">
        <v>76</v>
      </c>
      <c r="B170" t="s">
        <v>193</v>
      </c>
      <c r="C170" t="s">
        <v>13</v>
      </c>
      <c r="D170">
        <v>2</v>
      </c>
      <c r="E170">
        <v>5</v>
      </c>
      <c r="F170">
        <v>4</v>
      </c>
      <c r="G170">
        <v>5</v>
      </c>
      <c r="H170">
        <v>0.20910000000000001</v>
      </c>
      <c r="I170">
        <v>4.66</v>
      </c>
      <c r="J170">
        <v>351.98</v>
      </c>
      <c r="K170">
        <v>6</v>
      </c>
    </row>
    <row r="171" spans="1:11" x14ac:dyDescent="0.2">
      <c r="A171" t="s">
        <v>76</v>
      </c>
      <c r="B171" t="s">
        <v>193</v>
      </c>
      <c r="C171" t="s">
        <v>13</v>
      </c>
      <c r="D171">
        <v>4</v>
      </c>
      <c r="E171">
        <v>5</v>
      </c>
      <c r="F171">
        <v>5</v>
      </c>
      <c r="G171">
        <v>5</v>
      </c>
      <c r="H171">
        <v>0.19400000000000001</v>
      </c>
      <c r="I171">
        <v>4.87</v>
      </c>
      <c r="J171">
        <v>333.43</v>
      </c>
      <c r="K171">
        <v>26</v>
      </c>
    </row>
    <row r="172" spans="1:11" x14ac:dyDescent="0.2">
      <c r="A172" t="s">
        <v>76</v>
      </c>
      <c r="B172" t="s">
        <v>193</v>
      </c>
      <c r="C172" t="s">
        <v>192</v>
      </c>
      <c r="D172">
        <v>4</v>
      </c>
      <c r="E172">
        <v>5</v>
      </c>
      <c r="F172">
        <v>4</v>
      </c>
      <c r="G172">
        <v>5</v>
      </c>
      <c r="H172">
        <v>0.189</v>
      </c>
      <c r="I172">
        <v>4.5999999999999996</v>
      </c>
      <c r="J172">
        <v>208.14</v>
      </c>
      <c r="K172">
        <v>5</v>
      </c>
    </row>
    <row r="173" spans="1:11" x14ac:dyDescent="0.2">
      <c r="A173" t="s">
        <v>76</v>
      </c>
      <c r="B173" t="s">
        <v>191</v>
      </c>
      <c r="C173" t="s">
        <v>192</v>
      </c>
      <c r="D173">
        <v>16</v>
      </c>
      <c r="E173">
        <v>5</v>
      </c>
      <c r="F173">
        <v>5</v>
      </c>
      <c r="G173">
        <v>5</v>
      </c>
      <c r="H173">
        <v>0.17530000000000001</v>
      </c>
      <c r="I173">
        <v>4.79</v>
      </c>
      <c r="J173">
        <v>733.1</v>
      </c>
      <c r="K173">
        <v>5</v>
      </c>
    </row>
    <row r="174" spans="1:11" x14ac:dyDescent="0.2">
      <c r="A174" t="s">
        <v>76</v>
      </c>
      <c r="B174" t="s">
        <v>191</v>
      </c>
      <c r="C174" t="s">
        <v>192</v>
      </c>
      <c r="D174">
        <v>4</v>
      </c>
      <c r="E174">
        <v>4</v>
      </c>
      <c r="F174">
        <v>4</v>
      </c>
      <c r="G174">
        <v>4</v>
      </c>
      <c r="H174">
        <v>0.14630000000000001</v>
      </c>
      <c r="I174">
        <v>4.22</v>
      </c>
      <c r="J174">
        <v>287.20999999999998</v>
      </c>
      <c r="K174">
        <v>5</v>
      </c>
    </row>
    <row r="175" spans="1:11" x14ac:dyDescent="0.2">
      <c r="A175" t="s">
        <v>76</v>
      </c>
      <c r="B175" t="s">
        <v>193</v>
      </c>
      <c r="C175" t="s">
        <v>192</v>
      </c>
      <c r="D175">
        <v>1</v>
      </c>
      <c r="E175">
        <v>4</v>
      </c>
      <c r="F175">
        <v>4</v>
      </c>
      <c r="G175">
        <v>4</v>
      </c>
      <c r="H175">
        <v>0.1356</v>
      </c>
      <c r="I175">
        <v>3.91</v>
      </c>
      <c r="J175">
        <v>165.05</v>
      </c>
      <c r="K175">
        <v>6</v>
      </c>
    </row>
    <row r="176" spans="1:11" x14ac:dyDescent="0.2">
      <c r="A176" t="s">
        <v>76</v>
      </c>
      <c r="B176" t="s">
        <v>191</v>
      </c>
      <c r="C176" t="s">
        <v>192</v>
      </c>
      <c r="D176">
        <v>2</v>
      </c>
      <c r="E176">
        <v>4</v>
      </c>
      <c r="F176">
        <v>4</v>
      </c>
      <c r="G176">
        <v>4</v>
      </c>
      <c r="H176">
        <v>0.12570000000000001</v>
      </c>
      <c r="I176">
        <v>4.0999999999999996</v>
      </c>
      <c r="J176">
        <v>188.79</v>
      </c>
      <c r="K176">
        <v>10</v>
      </c>
    </row>
  </sheetData>
  <conditionalFormatting sqref="H1:H1048576">
    <cfRule type="colorScale" priority="2">
      <colorScale>
        <cfvo type="min"/>
        <cfvo type="percentile" val="50"/>
        <cfvo type="max"/>
        <color rgb="FFF8696B"/>
        <color rgb="FFFFEB84"/>
        <color rgb="FF63BE7B"/>
      </colorScale>
    </cfRule>
  </conditionalFormatting>
  <conditionalFormatting sqref="H2">
    <cfRule type="colorScale" priority="3">
      <colorScale>
        <cfvo type="min"/>
        <cfvo type="percentile" val="50"/>
        <cfvo type="max"/>
        <color rgb="FFF8696B"/>
        <color rgb="FFFFEB84"/>
        <color rgb="FF63BE7B"/>
      </colorScale>
    </cfRule>
  </conditionalFormatting>
  <conditionalFormatting sqref="I2:I17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73A9-DA6D-9F4C-B0C3-DFE931086AFF}">
  <sheetPr>
    <tabColor theme="5"/>
  </sheetPr>
  <dimension ref="A1:D35"/>
  <sheetViews>
    <sheetView topLeftCell="B18" zoomScale="131" workbookViewId="0">
      <selection activeCell="B38" sqref="B38"/>
    </sheetView>
  </sheetViews>
  <sheetFormatPr baseColWidth="10" defaultRowHeight="16" x14ac:dyDescent="0.2"/>
  <cols>
    <col min="1" max="4" width="35.83203125" customWidth="1"/>
    <col min="5" max="5" width="12.1640625" bestFit="1" customWidth="1"/>
    <col min="6" max="6" width="18.1640625" bestFit="1" customWidth="1"/>
    <col min="7" max="7" width="15.1640625" bestFit="1" customWidth="1"/>
  </cols>
  <sheetData>
    <row r="1" spans="1:4" x14ac:dyDescent="0.2">
      <c r="A1" s="1" t="s">
        <v>183</v>
      </c>
      <c r="B1" t="s">
        <v>190</v>
      </c>
    </row>
    <row r="2" spans="1:4" x14ac:dyDescent="0.2">
      <c r="A2" s="1" t="s">
        <v>185</v>
      </c>
      <c r="B2" s="2">
        <v>5</v>
      </c>
    </row>
    <row r="4" spans="1:4" x14ac:dyDescent="0.2">
      <c r="A4" s="1" t="s">
        <v>213</v>
      </c>
      <c r="B4" s="1" t="s">
        <v>215</v>
      </c>
    </row>
    <row r="5" spans="1:4" x14ac:dyDescent="0.2">
      <c r="A5" s="1" t="s">
        <v>207</v>
      </c>
      <c r="B5" t="s">
        <v>37</v>
      </c>
      <c r="C5" t="s">
        <v>76</v>
      </c>
      <c r="D5" t="s">
        <v>208</v>
      </c>
    </row>
    <row r="6" spans="1:4" x14ac:dyDescent="0.2">
      <c r="A6" s="2" t="s">
        <v>191</v>
      </c>
      <c r="B6">
        <v>0.32079374999999999</v>
      </c>
      <c r="C6">
        <v>0.37886428571428571</v>
      </c>
      <c r="D6">
        <v>0.34789333333333339</v>
      </c>
    </row>
    <row r="7" spans="1:4" x14ac:dyDescent="0.2">
      <c r="A7" s="2" t="s">
        <v>189</v>
      </c>
      <c r="B7">
        <v>0.36905000000000004</v>
      </c>
      <c r="D7">
        <v>0.36905000000000004</v>
      </c>
    </row>
    <row r="8" spans="1:4" x14ac:dyDescent="0.2">
      <c r="A8" s="2" t="s">
        <v>193</v>
      </c>
      <c r="B8">
        <v>0.29517499999999997</v>
      </c>
      <c r="C8">
        <v>0.40925833333333328</v>
      </c>
      <c r="D8">
        <v>0.36362499999999998</v>
      </c>
    </row>
    <row r="9" spans="1:4" x14ac:dyDescent="0.2">
      <c r="A9" s="2" t="s">
        <v>194</v>
      </c>
      <c r="C9">
        <v>0.44159999999999999</v>
      </c>
      <c r="D9">
        <v>0.44159999999999999</v>
      </c>
    </row>
    <row r="10" spans="1:4" x14ac:dyDescent="0.2">
      <c r="A10" s="2" t="s">
        <v>208</v>
      </c>
      <c r="B10">
        <v>0.3166230769230769</v>
      </c>
      <c r="C10">
        <v>0.39469629629629627</v>
      </c>
      <c r="D10">
        <v>0.35639622641509439</v>
      </c>
    </row>
    <row r="27" spans="1:4" x14ac:dyDescent="0.2">
      <c r="A27" s="6" t="s">
        <v>217</v>
      </c>
      <c r="B27" s="6" t="s">
        <v>218</v>
      </c>
      <c r="C27" s="6" t="s">
        <v>219</v>
      </c>
      <c r="D27" s="6" t="s">
        <v>220</v>
      </c>
    </row>
    <row r="28" spans="1:4" x14ac:dyDescent="0.2">
      <c r="A28" t="s">
        <v>221</v>
      </c>
      <c r="B28" t="s">
        <v>222</v>
      </c>
      <c r="C28" t="s">
        <v>223</v>
      </c>
      <c r="D28" t="s">
        <v>224</v>
      </c>
    </row>
    <row r="29" spans="1:4" x14ac:dyDescent="0.2">
      <c r="A29" t="s">
        <v>221</v>
      </c>
      <c r="B29" t="s">
        <v>225</v>
      </c>
      <c r="C29" t="s">
        <v>226</v>
      </c>
      <c r="D29" t="s">
        <v>227</v>
      </c>
    </row>
    <row r="30" spans="1:4" x14ac:dyDescent="0.2">
      <c r="A30" t="s">
        <v>221</v>
      </c>
      <c r="B30" t="s">
        <v>228</v>
      </c>
      <c r="C30" t="s">
        <v>229</v>
      </c>
      <c r="D30" t="s">
        <v>230</v>
      </c>
    </row>
    <row r="31" spans="1:4" x14ac:dyDescent="0.2">
      <c r="A31" t="s">
        <v>231</v>
      </c>
      <c r="B31" t="s">
        <v>232</v>
      </c>
      <c r="C31" t="s">
        <v>233</v>
      </c>
      <c r="D31" t="s">
        <v>234</v>
      </c>
    </row>
    <row r="32" spans="1:4" x14ac:dyDescent="0.2">
      <c r="A32" t="s">
        <v>231</v>
      </c>
      <c r="B32" t="s">
        <v>235</v>
      </c>
      <c r="C32" t="s">
        <v>236</v>
      </c>
      <c r="D32" t="s">
        <v>237</v>
      </c>
    </row>
    <row r="33" spans="1:4" x14ac:dyDescent="0.2">
      <c r="A33" t="s">
        <v>231</v>
      </c>
      <c r="B33" t="s">
        <v>238</v>
      </c>
      <c r="C33" t="s">
        <v>239</v>
      </c>
      <c r="D33" t="s">
        <v>240</v>
      </c>
    </row>
    <row r="34" spans="1:4" x14ac:dyDescent="0.2">
      <c r="A34" t="s">
        <v>241</v>
      </c>
      <c r="B34" t="s">
        <v>242</v>
      </c>
      <c r="C34" t="s">
        <v>243</v>
      </c>
      <c r="D34" t="s">
        <v>244</v>
      </c>
    </row>
    <row r="35" spans="1:4" x14ac:dyDescent="0.2">
      <c r="A35" t="s">
        <v>241</v>
      </c>
      <c r="B35" t="s">
        <v>245</v>
      </c>
      <c r="C35" t="s">
        <v>246</v>
      </c>
      <c r="D35" t="s">
        <v>247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06FC-5625-5A4D-ABBC-57E37142B061}">
  <sheetPr>
    <tabColor theme="1" tint="0.499984740745262"/>
  </sheetPr>
  <dimension ref="A1:L130"/>
  <sheetViews>
    <sheetView topLeftCell="A3" workbookViewId="0">
      <selection activeCell="C24" sqref="C24"/>
    </sheetView>
  </sheetViews>
  <sheetFormatPr baseColWidth="10" defaultRowHeight="16" x14ac:dyDescent="0.2"/>
  <cols>
    <col min="1" max="1" width="11.5" bestFit="1" customWidth="1"/>
    <col min="2" max="2" width="22.5" bestFit="1" customWidth="1"/>
    <col min="3" max="3" width="10" bestFit="1" customWidth="1"/>
    <col min="4" max="4" width="14.33203125" bestFit="1" customWidth="1"/>
    <col min="5" max="5" width="16.1640625" bestFit="1" customWidth="1"/>
    <col min="6" max="6" width="11.5" bestFit="1" customWidth="1"/>
    <col min="7" max="7" width="14.1640625" bestFit="1" customWidth="1"/>
    <col min="8" max="8" width="18.5" bestFit="1" customWidth="1"/>
    <col min="9" max="9" width="20" bestFit="1" customWidth="1"/>
    <col min="10" max="10" width="11.6640625" bestFit="1" customWidth="1"/>
    <col min="11" max="11" width="40.33203125" bestFit="1" customWidth="1"/>
  </cols>
  <sheetData>
    <row r="1" spans="1:12" x14ac:dyDescent="0.2">
      <c r="A1" t="s">
        <v>0</v>
      </c>
      <c r="B1" t="s">
        <v>1</v>
      </c>
      <c r="C1" t="s">
        <v>2</v>
      </c>
      <c r="D1" t="s">
        <v>188</v>
      </c>
      <c r="E1" t="s">
        <v>4</v>
      </c>
      <c r="F1" t="s">
        <v>5</v>
      </c>
      <c r="G1" t="s">
        <v>195</v>
      </c>
      <c r="H1" t="s">
        <v>196</v>
      </c>
      <c r="I1" t="s">
        <v>197</v>
      </c>
      <c r="J1" t="s">
        <v>198</v>
      </c>
      <c r="K1" t="s">
        <v>10</v>
      </c>
      <c r="L1" t="s">
        <v>248</v>
      </c>
    </row>
    <row r="2" spans="1:12" x14ac:dyDescent="0.2">
      <c r="A2" t="s">
        <v>11</v>
      </c>
      <c r="B2" t="s">
        <v>12</v>
      </c>
      <c r="C2" t="s">
        <v>13</v>
      </c>
      <c r="D2">
        <v>414</v>
      </c>
      <c r="E2">
        <v>0.32369999999999999</v>
      </c>
      <c r="F2">
        <v>1377.42</v>
      </c>
      <c r="G2">
        <v>996.34</v>
      </c>
      <c r="H2">
        <v>0.72330000000000005</v>
      </c>
      <c r="I2">
        <v>2.17</v>
      </c>
      <c r="J2">
        <v>-877.38</v>
      </c>
      <c r="K2" t="s">
        <v>199</v>
      </c>
      <c r="L2">
        <f t="shared" ref="L2:L33" si="0">IF(K2="GO -- high demand, underpriced, volatile market",5,IF(K2="GO -- high demand, underpriced",4,IF(K2="MONITOR -- high demand, already premium",3,IF(K2="NO GO -- low demand, low price",2,1))))</f>
        <v>4</v>
      </c>
    </row>
    <row r="3" spans="1:12" x14ac:dyDescent="0.2">
      <c r="A3" t="s">
        <v>11</v>
      </c>
      <c r="B3" t="s">
        <v>20</v>
      </c>
      <c r="C3" t="s">
        <v>13</v>
      </c>
      <c r="D3">
        <v>808</v>
      </c>
      <c r="E3">
        <v>0.31380000000000002</v>
      </c>
      <c r="F3">
        <v>1225.02</v>
      </c>
      <c r="G3">
        <v>811.4</v>
      </c>
      <c r="H3">
        <v>0.66239999999999999</v>
      </c>
      <c r="I3">
        <v>1.18</v>
      </c>
      <c r="J3">
        <v>-1029.78</v>
      </c>
      <c r="K3" t="s">
        <v>199</v>
      </c>
      <c r="L3">
        <f t="shared" si="0"/>
        <v>4</v>
      </c>
    </row>
    <row r="4" spans="1:12" x14ac:dyDescent="0.2">
      <c r="A4" t="s">
        <v>37</v>
      </c>
      <c r="B4" t="s">
        <v>38</v>
      </c>
      <c r="C4" t="s">
        <v>13</v>
      </c>
      <c r="D4">
        <v>24</v>
      </c>
      <c r="E4">
        <v>0.55410000000000004</v>
      </c>
      <c r="F4">
        <v>311.89999999999998</v>
      </c>
      <c r="G4">
        <v>153.24</v>
      </c>
      <c r="H4">
        <v>0.49130000000000001</v>
      </c>
      <c r="I4">
        <v>21.46</v>
      </c>
      <c r="J4">
        <v>-46.53</v>
      </c>
      <c r="K4" t="s">
        <v>199</v>
      </c>
      <c r="L4">
        <f t="shared" si="0"/>
        <v>4</v>
      </c>
    </row>
    <row r="5" spans="1:12" x14ac:dyDescent="0.2">
      <c r="A5" t="s">
        <v>37</v>
      </c>
      <c r="B5" t="s">
        <v>39</v>
      </c>
      <c r="C5" t="s">
        <v>13</v>
      </c>
      <c r="D5">
        <v>40</v>
      </c>
      <c r="E5">
        <v>0.52559999999999996</v>
      </c>
      <c r="F5">
        <v>330.78</v>
      </c>
      <c r="G5">
        <v>163.76</v>
      </c>
      <c r="H5">
        <v>0.49509999999999998</v>
      </c>
      <c r="I5">
        <v>18.61</v>
      </c>
      <c r="J5">
        <v>-27.66</v>
      </c>
      <c r="K5" t="s">
        <v>199</v>
      </c>
      <c r="L5">
        <f t="shared" si="0"/>
        <v>4</v>
      </c>
    </row>
    <row r="6" spans="1:12" x14ac:dyDescent="0.2">
      <c r="A6" t="s">
        <v>37</v>
      </c>
      <c r="B6" t="s">
        <v>41</v>
      </c>
      <c r="C6" t="s">
        <v>13</v>
      </c>
      <c r="D6">
        <v>58</v>
      </c>
      <c r="E6">
        <v>0.50349999999999995</v>
      </c>
      <c r="F6">
        <v>291.08999999999997</v>
      </c>
      <c r="G6">
        <v>188.48</v>
      </c>
      <c r="H6">
        <v>0.64749999999999996</v>
      </c>
      <c r="I6">
        <v>16.399999999999999</v>
      </c>
      <c r="J6">
        <v>-67.349999999999994</v>
      </c>
      <c r="K6" t="s">
        <v>199</v>
      </c>
      <c r="L6">
        <f t="shared" si="0"/>
        <v>4</v>
      </c>
    </row>
    <row r="7" spans="1:12" x14ac:dyDescent="0.2">
      <c r="A7" t="s">
        <v>37</v>
      </c>
      <c r="B7" t="s">
        <v>42</v>
      </c>
      <c r="C7" t="s">
        <v>13</v>
      </c>
      <c r="D7">
        <v>14</v>
      </c>
      <c r="E7">
        <v>0.49590000000000001</v>
      </c>
      <c r="F7">
        <v>313.87</v>
      </c>
      <c r="G7">
        <v>160.69</v>
      </c>
      <c r="H7">
        <v>0.51200000000000001</v>
      </c>
      <c r="I7">
        <v>15.64</v>
      </c>
      <c r="J7">
        <v>-44.57</v>
      </c>
      <c r="K7" t="s">
        <v>199</v>
      </c>
      <c r="L7">
        <f t="shared" si="0"/>
        <v>4</v>
      </c>
    </row>
    <row r="8" spans="1:12" x14ac:dyDescent="0.2">
      <c r="A8" t="s">
        <v>37</v>
      </c>
      <c r="B8" t="s">
        <v>43</v>
      </c>
      <c r="C8" t="s">
        <v>13</v>
      </c>
      <c r="D8">
        <v>49</v>
      </c>
      <c r="E8">
        <v>0.49530000000000002</v>
      </c>
      <c r="F8">
        <v>312.66000000000003</v>
      </c>
      <c r="G8">
        <v>193.25</v>
      </c>
      <c r="H8">
        <v>0.61809999999999998</v>
      </c>
      <c r="I8">
        <v>15.58</v>
      </c>
      <c r="J8">
        <v>-45.78</v>
      </c>
      <c r="K8" t="s">
        <v>199</v>
      </c>
      <c r="L8">
        <f t="shared" si="0"/>
        <v>4</v>
      </c>
    </row>
    <row r="9" spans="1:12" x14ac:dyDescent="0.2">
      <c r="A9" t="s">
        <v>37</v>
      </c>
      <c r="B9" t="s">
        <v>44</v>
      </c>
      <c r="C9" t="s">
        <v>13</v>
      </c>
      <c r="D9">
        <v>17</v>
      </c>
      <c r="E9">
        <v>0.49480000000000002</v>
      </c>
      <c r="F9">
        <v>285.76</v>
      </c>
      <c r="G9">
        <v>157.13</v>
      </c>
      <c r="H9">
        <v>0.54990000000000006</v>
      </c>
      <c r="I9">
        <v>15.53</v>
      </c>
      <c r="J9">
        <v>-72.680000000000007</v>
      </c>
      <c r="K9" t="s">
        <v>199</v>
      </c>
      <c r="L9">
        <f t="shared" si="0"/>
        <v>4</v>
      </c>
    </row>
    <row r="10" spans="1:12" x14ac:dyDescent="0.2">
      <c r="A10" t="s">
        <v>37</v>
      </c>
      <c r="B10" t="s">
        <v>45</v>
      </c>
      <c r="C10" t="s">
        <v>13</v>
      </c>
      <c r="D10">
        <v>24</v>
      </c>
      <c r="E10">
        <v>0.48130000000000001</v>
      </c>
      <c r="F10">
        <v>241.42</v>
      </c>
      <c r="G10">
        <v>94.62</v>
      </c>
      <c r="H10">
        <v>0.39190000000000003</v>
      </c>
      <c r="I10">
        <v>14.18</v>
      </c>
      <c r="J10">
        <v>-117.02</v>
      </c>
      <c r="K10" t="s">
        <v>199</v>
      </c>
      <c r="L10">
        <f t="shared" si="0"/>
        <v>4</v>
      </c>
    </row>
    <row r="11" spans="1:12" x14ac:dyDescent="0.2">
      <c r="A11" t="s">
        <v>37</v>
      </c>
      <c r="B11" t="s">
        <v>46</v>
      </c>
      <c r="C11" t="s">
        <v>13</v>
      </c>
      <c r="D11">
        <v>10</v>
      </c>
      <c r="E11">
        <v>0.48110000000000003</v>
      </c>
      <c r="F11">
        <v>295.72000000000003</v>
      </c>
      <c r="G11">
        <v>138.66</v>
      </c>
      <c r="H11">
        <v>0.46889999999999998</v>
      </c>
      <c r="I11">
        <v>14.16</v>
      </c>
      <c r="J11">
        <v>-62.72</v>
      </c>
      <c r="K11" t="s">
        <v>199</v>
      </c>
      <c r="L11">
        <f t="shared" si="0"/>
        <v>4</v>
      </c>
    </row>
    <row r="12" spans="1:12" x14ac:dyDescent="0.2">
      <c r="A12" t="s">
        <v>37</v>
      </c>
      <c r="B12" t="s">
        <v>47</v>
      </c>
      <c r="C12" t="s">
        <v>13</v>
      </c>
      <c r="D12">
        <v>58</v>
      </c>
      <c r="E12">
        <v>0.4723</v>
      </c>
      <c r="F12">
        <v>282.35000000000002</v>
      </c>
      <c r="G12">
        <v>198.89</v>
      </c>
      <c r="H12">
        <v>0.70440000000000003</v>
      </c>
      <c r="I12">
        <v>13.28</v>
      </c>
      <c r="J12">
        <v>-76.09</v>
      </c>
      <c r="K12" t="s">
        <v>199</v>
      </c>
      <c r="L12">
        <f t="shared" si="0"/>
        <v>4</v>
      </c>
    </row>
    <row r="13" spans="1:12" x14ac:dyDescent="0.2">
      <c r="A13" t="s">
        <v>37</v>
      </c>
      <c r="B13" t="s">
        <v>48</v>
      </c>
      <c r="C13" t="s">
        <v>13</v>
      </c>
      <c r="D13">
        <v>11</v>
      </c>
      <c r="E13">
        <v>0.46500000000000002</v>
      </c>
      <c r="F13">
        <v>350.23</v>
      </c>
      <c r="G13">
        <v>151</v>
      </c>
      <c r="H13">
        <v>0.43109999999999998</v>
      </c>
      <c r="I13">
        <v>12.55</v>
      </c>
      <c r="J13">
        <v>-8.1999999999999993</v>
      </c>
      <c r="K13" t="s">
        <v>199</v>
      </c>
      <c r="L13">
        <f t="shared" si="0"/>
        <v>4</v>
      </c>
    </row>
    <row r="14" spans="1:12" x14ac:dyDescent="0.2">
      <c r="A14" t="s">
        <v>37</v>
      </c>
      <c r="B14" t="s">
        <v>51</v>
      </c>
      <c r="C14" t="s">
        <v>13</v>
      </c>
      <c r="D14">
        <v>16</v>
      </c>
      <c r="E14">
        <v>0.46079999999999999</v>
      </c>
      <c r="F14">
        <v>256.27</v>
      </c>
      <c r="G14">
        <v>82.78</v>
      </c>
      <c r="H14">
        <v>0.32300000000000001</v>
      </c>
      <c r="I14">
        <v>12.13</v>
      </c>
      <c r="J14">
        <v>-102.17</v>
      </c>
      <c r="K14" t="s">
        <v>199</v>
      </c>
      <c r="L14">
        <f t="shared" si="0"/>
        <v>4</v>
      </c>
    </row>
    <row r="15" spans="1:12" x14ac:dyDescent="0.2">
      <c r="A15" t="s">
        <v>37</v>
      </c>
      <c r="B15" t="s">
        <v>52</v>
      </c>
      <c r="C15" t="s">
        <v>13</v>
      </c>
      <c r="D15">
        <v>29</v>
      </c>
      <c r="E15">
        <v>0.44409999999999999</v>
      </c>
      <c r="F15">
        <v>298.72000000000003</v>
      </c>
      <c r="G15">
        <v>226.43</v>
      </c>
      <c r="H15">
        <v>0.75800000000000001</v>
      </c>
      <c r="I15">
        <v>10.46</v>
      </c>
      <c r="J15">
        <v>-59.72</v>
      </c>
      <c r="K15" t="s">
        <v>199</v>
      </c>
      <c r="L15">
        <f t="shared" si="0"/>
        <v>4</v>
      </c>
    </row>
    <row r="16" spans="1:12" x14ac:dyDescent="0.2">
      <c r="A16" t="s">
        <v>37</v>
      </c>
      <c r="B16" t="s">
        <v>53</v>
      </c>
      <c r="C16" t="s">
        <v>13</v>
      </c>
      <c r="D16">
        <v>68</v>
      </c>
      <c r="E16">
        <v>0.44209999999999999</v>
      </c>
      <c r="F16">
        <v>338.1</v>
      </c>
      <c r="G16">
        <v>194.99</v>
      </c>
      <c r="H16">
        <v>0.57669999999999999</v>
      </c>
      <c r="I16">
        <v>10.26</v>
      </c>
      <c r="J16">
        <v>-20.329999999999998</v>
      </c>
      <c r="K16" t="s">
        <v>199</v>
      </c>
      <c r="L16">
        <f t="shared" si="0"/>
        <v>4</v>
      </c>
    </row>
    <row r="17" spans="1:12" x14ac:dyDescent="0.2">
      <c r="A17" t="s">
        <v>37</v>
      </c>
      <c r="B17" t="s">
        <v>56</v>
      </c>
      <c r="C17" t="s">
        <v>13</v>
      </c>
      <c r="D17">
        <v>34</v>
      </c>
      <c r="E17">
        <v>0.42659999999999998</v>
      </c>
      <c r="F17">
        <v>226.25</v>
      </c>
      <c r="G17">
        <v>102.14</v>
      </c>
      <c r="H17">
        <v>0.45150000000000001</v>
      </c>
      <c r="I17">
        <v>8.7100000000000009</v>
      </c>
      <c r="J17">
        <v>-132.19</v>
      </c>
      <c r="K17" t="s">
        <v>199</v>
      </c>
      <c r="L17">
        <f t="shared" si="0"/>
        <v>4</v>
      </c>
    </row>
    <row r="18" spans="1:12" x14ac:dyDescent="0.2">
      <c r="A18" t="s">
        <v>37</v>
      </c>
      <c r="B18" t="s">
        <v>57</v>
      </c>
      <c r="C18" t="s">
        <v>13</v>
      </c>
      <c r="D18">
        <v>12</v>
      </c>
      <c r="E18">
        <v>0.42049999999999998</v>
      </c>
      <c r="F18">
        <v>262.76</v>
      </c>
      <c r="G18">
        <v>149.34</v>
      </c>
      <c r="H18">
        <v>0.56840000000000002</v>
      </c>
      <c r="I18">
        <v>8.1</v>
      </c>
      <c r="J18">
        <v>-95.68</v>
      </c>
      <c r="K18" t="s">
        <v>199</v>
      </c>
      <c r="L18">
        <f t="shared" si="0"/>
        <v>4</v>
      </c>
    </row>
    <row r="19" spans="1:12" x14ac:dyDescent="0.2">
      <c r="A19" t="s">
        <v>37</v>
      </c>
      <c r="B19" t="s">
        <v>58</v>
      </c>
      <c r="C19" t="s">
        <v>13</v>
      </c>
      <c r="D19">
        <v>24</v>
      </c>
      <c r="E19">
        <v>0.42</v>
      </c>
      <c r="F19">
        <v>320.39999999999998</v>
      </c>
      <c r="G19">
        <v>180.06</v>
      </c>
      <c r="H19">
        <v>0.56200000000000006</v>
      </c>
      <c r="I19">
        <v>8.0500000000000007</v>
      </c>
      <c r="J19">
        <v>-38.04</v>
      </c>
      <c r="K19" t="s">
        <v>199</v>
      </c>
      <c r="L19">
        <f t="shared" si="0"/>
        <v>4</v>
      </c>
    </row>
    <row r="20" spans="1:12" x14ac:dyDescent="0.2">
      <c r="A20" t="s">
        <v>37</v>
      </c>
      <c r="B20" t="s">
        <v>59</v>
      </c>
      <c r="C20" t="s">
        <v>13</v>
      </c>
      <c r="D20">
        <v>126</v>
      </c>
      <c r="E20">
        <v>0.41470000000000001</v>
      </c>
      <c r="F20">
        <v>325.83</v>
      </c>
      <c r="G20">
        <v>207.04</v>
      </c>
      <c r="H20">
        <v>0.63539999999999996</v>
      </c>
      <c r="I20">
        <v>7.52</v>
      </c>
      <c r="J20">
        <v>-32.6</v>
      </c>
      <c r="K20" t="s">
        <v>199</v>
      </c>
      <c r="L20">
        <f t="shared" si="0"/>
        <v>4</v>
      </c>
    </row>
    <row r="21" spans="1:12" x14ac:dyDescent="0.2">
      <c r="A21" t="s">
        <v>37</v>
      </c>
      <c r="B21" t="s">
        <v>60</v>
      </c>
      <c r="C21" t="s">
        <v>13</v>
      </c>
      <c r="D21">
        <v>12</v>
      </c>
      <c r="E21">
        <v>0.41439999999999999</v>
      </c>
      <c r="F21">
        <v>212.92</v>
      </c>
      <c r="G21">
        <v>122.53</v>
      </c>
      <c r="H21">
        <v>0.57550000000000001</v>
      </c>
      <c r="I21">
        <v>7.49</v>
      </c>
      <c r="J21">
        <v>-145.52000000000001</v>
      </c>
      <c r="K21" t="s">
        <v>199</v>
      </c>
      <c r="L21">
        <f t="shared" si="0"/>
        <v>4</v>
      </c>
    </row>
    <row r="22" spans="1:12" x14ac:dyDescent="0.2">
      <c r="A22" t="s">
        <v>37</v>
      </c>
      <c r="B22" t="s">
        <v>61</v>
      </c>
      <c r="C22" t="s">
        <v>13</v>
      </c>
      <c r="D22">
        <v>24</v>
      </c>
      <c r="E22">
        <v>0.3881</v>
      </c>
      <c r="F22">
        <v>310.33999999999997</v>
      </c>
      <c r="G22">
        <v>141.32</v>
      </c>
      <c r="H22">
        <v>0.45540000000000003</v>
      </c>
      <c r="I22">
        <v>4.8600000000000003</v>
      </c>
      <c r="J22">
        <v>-48.09</v>
      </c>
      <c r="K22" t="s">
        <v>199</v>
      </c>
      <c r="L22">
        <f t="shared" si="0"/>
        <v>4</v>
      </c>
    </row>
    <row r="23" spans="1:12" x14ac:dyDescent="0.2">
      <c r="A23" t="s">
        <v>37</v>
      </c>
      <c r="B23" t="s">
        <v>63</v>
      </c>
      <c r="C23" t="s">
        <v>13</v>
      </c>
      <c r="D23">
        <v>68</v>
      </c>
      <c r="E23">
        <v>0.37109999999999999</v>
      </c>
      <c r="F23">
        <v>270.92</v>
      </c>
      <c r="G23">
        <v>156.02000000000001</v>
      </c>
      <c r="H23">
        <v>0.57589999999999997</v>
      </c>
      <c r="I23">
        <v>3.17</v>
      </c>
      <c r="J23">
        <v>-87.52</v>
      </c>
      <c r="K23" t="s">
        <v>199</v>
      </c>
      <c r="L23">
        <f t="shared" si="0"/>
        <v>4</v>
      </c>
    </row>
    <row r="24" spans="1:12" x14ac:dyDescent="0.2">
      <c r="A24" t="s">
        <v>76</v>
      </c>
      <c r="B24" t="s">
        <v>82</v>
      </c>
      <c r="C24" t="s">
        <v>81</v>
      </c>
      <c r="D24">
        <v>14</v>
      </c>
      <c r="E24">
        <v>0.60270000000000001</v>
      </c>
      <c r="F24">
        <v>343.27</v>
      </c>
      <c r="G24">
        <v>176.11</v>
      </c>
      <c r="H24">
        <v>0.51300000000000001</v>
      </c>
      <c r="I24">
        <v>19.32</v>
      </c>
      <c r="J24">
        <v>-2.79</v>
      </c>
      <c r="K24" t="s">
        <v>199</v>
      </c>
      <c r="L24">
        <f t="shared" si="0"/>
        <v>4</v>
      </c>
    </row>
    <row r="25" spans="1:12" x14ac:dyDescent="0.2">
      <c r="A25" t="s">
        <v>76</v>
      </c>
      <c r="B25" t="s">
        <v>84</v>
      </c>
      <c r="C25" t="s">
        <v>85</v>
      </c>
      <c r="D25">
        <v>11</v>
      </c>
      <c r="E25">
        <v>0.56859999999999999</v>
      </c>
      <c r="F25">
        <v>197.86</v>
      </c>
      <c r="G25">
        <v>101.21</v>
      </c>
      <c r="H25">
        <v>0.51149999999999995</v>
      </c>
      <c r="I25">
        <v>15.91</v>
      </c>
      <c r="J25">
        <v>-148.19999999999999</v>
      </c>
      <c r="K25" t="s">
        <v>199</v>
      </c>
      <c r="L25">
        <f t="shared" si="0"/>
        <v>4</v>
      </c>
    </row>
    <row r="26" spans="1:12" x14ac:dyDescent="0.2">
      <c r="A26" t="s">
        <v>76</v>
      </c>
      <c r="B26" t="s">
        <v>86</v>
      </c>
      <c r="C26" t="s">
        <v>78</v>
      </c>
      <c r="D26">
        <v>12</v>
      </c>
      <c r="E26">
        <v>0.56689999999999996</v>
      </c>
      <c r="F26">
        <v>313.16000000000003</v>
      </c>
      <c r="G26">
        <v>125.57</v>
      </c>
      <c r="H26">
        <v>0.40100000000000002</v>
      </c>
      <c r="I26">
        <v>15.74</v>
      </c>
      <c r="J26">
        <v>-32.9</v>
      </c>
      <c r="K26" t="s">
        <v>199</v>
      </c>
      <c r="L26">
        <f t="shared" si="0"/>
        <v>4</v>
      </c>
    </row>
    <row r="27" spans="1:12" x14ac:dyDescent="0.2">
      <c r="A27" t="s">
        <v>76</v>
      </c>
      <c r="B27" t="s">
        <v>88</v>
      </c>
      <c r="C27" t="s">
        <v>81</v>
      </c>
      <c r="D27">
        <v>10</v>
      </c>
      <c r="E27">
        <v>0.55889999999999995</v>
      </c>
      <c r="F27">
        <v>332.34</v>
      </c>
      <c r="G27">
        <v>115.02</v>
      </c>
      <c r="H27">
        <v>0.34610000000000002</v>
      </c>
      <c r="I27">
        <v>14.94</v>
      </c>
      <c r="J27">
        <v>-13.72</v>
      </c>
      <c r="K27" t="s">
        <v>199</v>
      </c>
      <c r="L27">
        <f t="shared" si="0"/>
        <v>4</v>
      </c>
    </row>
    <row r="28" spans="1:12" x14ac:dyDescent="0.2">
      <c r="A28" t="s">
        <v>76</v>
      </c>
      <c r="B28" t="s">
        <v>93</v>
      </c>
      <c r="C28" t="s">
        <v>81</v>
      </c>
      <c r="D28">
        <v>27</v>
      </c>
      <c r="E28">
        <v>0.51749999999999996</v>
      </c>
      <c r="F28">
        <v>339.58</v>
      </c>
      <c r="G28">
        <v>158.4</v>
      </c>
      <c r="H28">
        <v>0.46650000000000003</v>
      </c>
      <c r="I28">
        <v>10.8</v>
      </c>
      <c r="J28">
        <v>-6.48</v>
      </c>
      <c r="K28" t="s">
        <v>199</v>
      </c>
      <c r="L28">
        <f t="shared" si="0"/>
        <v>4</v>
      </c>
    </row>
    <row r="29" spans="1:12" x14ac:dyDescent="0.2">
      <c r="A29" t="s">
        <v>76</v>
      </c>
      <c r="B29" t="s">
        <v>97</v>
      </c>
      <c r="C29" t="s">
        <v>81</v>
      </c>
      <c r="D29">
        <v>18</v>
      </c>
      <c r="E29">
        <v>0.49030000000000001</v>
      </c>
      <c r="F29">
        <v>277.18</v>
      </c>
      <c r="G29">
        <v>168.94</v>
      </c>
      <c r="H29">
        <v>0.60950000000000004</v>
      </c>
      <c r="I29">
        <v>8.07</v>
      </c>
      <c r="J29">
        <v>-68.88</v>
      </c>
      <c r="K29" t="s">
        <v>199</v>
      </c>
      <c r="L29">
        <f t="shared" si="0"/>
        <v>4</v>
      </c>
    </row>
    <row r="30" spans="1:12" x14ac:dyDescent="0.2">
      <c r="A30" t="s">
        <v>76</v>
      </c>
      <c r="B30" t="s">
        <v>98</v>
      </c>
      <c r="C30" t="s">
        <v>85</v>
      </c>
      <c r="D30">
        <v>10</v>
      </c>
      <c r="E30">
        <v>0.48470000000000002</v>
      </c>
      <c r="F30">
        <v>291.05</v>
      </c>
      <c r="G30">
        <v>171.62</v>
      </c>
      <c r="H30">
        <v>0.5897</v>
      </c>
      <c r="I30">
        <v>7.51</v>
      </c>
      <c r="J30">
        <v>-55.01</v>
      </c>
      <c r="K30" t="s">
        <v>199</v>
      </c>
      <c r="L30">
        <f t="shared" si="0"/>
        <v>4</v>
      </c>
    </row>
    <row r="31" spans="1:12" x14ac:dyDescent="0.2">
      <c r="A31" t="s">
        <v>76</v>
      </c>
      <c r="B31" t="s">
        <v>99</v>
      </c>
      <c r="C31" t="s">
        <v>81</v>
      </c>
      <c r="D31">
        <v>110</v>
      </c>
      <c r="E31">
        <v>0.48449999999999999</v>
      </c>
      <c r="F31">
        <v>294.89</v>
      </c>
      <c r="G31">
        <v>168.21</v>
      </c>
      <c r="H31">
        <v>0.57040000000000002</v>
      </c>
      <c r="I31">
        <v>7.5</v>
      </c>
      <c r="J31">
        <v>-51.16</v>
      </c>
      <c r="K31" t="s">
        <v>199</v>
      </c>
      <c r="L31">
        <f t="shared" si="0"/>
        <v>4</v>
      </c>
    </row>
    <row r="32" spans="1:12" x14ac:dyDescent="0.2">
      <c r="A32" t="s">
        <v>76</v>
      </c>
      <c r="B32" t="s">
        <v>100</v>
      </c>
      <c r="C32" t="s">
        <v>81</v>
      </c>
      <c r="D32">
        <v>29</v>
      </c>
      <c r="E32">
        <v>0.4834</v>
      </c>
      <c r="F32">
        <v>259.69</v>
      </c>
      <c r="G32">
        <v>129.52000000000001</v>
      </c>
      <c r="H32">
        <v>0.49869999999999998</v>
      </c>
      <c r="I32">
        <v>7.39</v>
      </c>
      <c r="J32">
        <v>-86.37</v>
      </c>
      <c r="K32" t="s">
        <v>199</v>
      </c>
      <c r="L32">
        <f t="shared" si="0"/>
        <v>4</v>
      </c>
    </row>
    <row r="33" spans="1:12" x14ac:dyDescent="0.2">
      <c r="A33" t="s">
        <v>76</v>
      </c>
      <c r="B33" t="s">
        <v>101</v>
      </c>
      <c r="C33" t="s">
        <v>85</v>
      </c>
      <c r="D33">
        <v>22</v>
      </c>
      <c r="E33">
        <v>0.47560000000000002</v>
      </c>
      <c r="F33">
        <v>275.83</v>
      </c>
      <c r="G33">
        <v>109.13</v>
      </c>
      <c r="H33">
        <v>0.39560000000000001</v>
      </c>
      <c r="I33">
        <v>6.61</v>
      </c>
      <c r="J33">
        <v>-70.23</v>
      </c>
      <c r="K33" t="s">
        <v>199</v>
      </c>
      <c r="L33">
        <f t="shared" si="0"/>
        <v>4</v>
      </c>
    </row>
    <row r="34" spans="1:12" x14ac:dyDescent="0.2">
      <c r="A34" t="s">
        <v>76</v>
      </c>
      <c r="B34" t="s">
        <v>102</v>
      </c>
      <c r="C34" t="s">
        <v>103</v>
      </c>
      <c r="D34">
        <v>11</v>
      </c>
      <c r="E34">
        <v>0.47549999999999998</v>
      </c>
      <c r="F34">
        <v>141.22999999999999</v>
      </c>
      <c r="G34">
        <v>42.98</v>
      </c>
      <c r="H34">
        <v>0.30430000000000001</v>
      </c>
      <c r="I34">
        <v>6.6</v>
      </c>
      <c r="J34">
        <v>-204.83</v>
      </c>
      <c r="K34" t="s">
        <v>199</v>
      </c>
      <c r="L34">
        <f t="shared" ref="L34:L65" si="1">IF(K34="GO -- high demand, underpriced, volatile market",5,IF(K34="GO -- high demand, underpriced",4,IF(K34="MONITOR -- high demand, already premium",3,IF(K34="NO GO -- low demand, low price",2,1))))</f>
        <v>4</v>
      </c>
    </row>
    <row r="35" spans="1:12" x14ac:dyDescent="0.2">
      <c r="A35" t="s">
        <v>76</v>
      </c>
      <c r="B35" t="s">
        <v>105</v>
      </c>
      <c r="C35" t="s">
        <v>81</v>
      </c>
      <c r="D35">
        <v>45</v>
      </c>
      <c r="E35">
        <v>0.46939999999999998</v>
      </c>
      <c r="F35">
        <v>221.54</v>
      </c>
      <c r="G35">
        <v>100.02</v>
      </c>
      <c r="H35">
        <v>0.45150000000000001</v>
      </c>
      <c r="I35">
        <v>5.99</v>
      </c>
      <c r="J35">
        <v>-124.52</v>
      </c>
      <c r="K35" t="s">
        <v>199</v>
      </c>
      <c r="L35">
        <f t="shared" si="1"/>
        <v>4</v>
      </c>
    </row>
    <row r="36" spans="1:12" x14ac:dyDescent="0.2">
      <c r="A36" t="s">
        <v>76</v>
      </c>
      <c r="B36" t="s">
        <v>106</v>
      </c>
      <c r="C36" t="s">
        <v>81</v>
      </c>
      <c r="D36">
        <v>276</v>
      </c>
      <c r="E36">
        <v>0.46860000000000002</v>
      </c>
      <c r="F36">
        <v>272.64999999999998</v>
      </c>
      <c r="G36">
        <v>160.75</v>
      </c>
      <c r="H36">
        <v>0.58960000000000001</v>
      </c>
      <c r="I36">
        <v>5.91</v>
      </c>
      <c r="J36">
        <v>-73.41</v>
      </c>
      <c r="K36" t="s">
        <v>199</v>
      </c>
      <c r="L36">
        <f t="shared" si="1"/>
        <v>4</v>
      </c>
    </row>
    <row r="37" spans="1:12" x14ac:dyDescent="0.2">
      <c r="A37" t="s">
        <v>76</v>
      </c>
      <c r="B37" t="s">
        <v>109</v>
      </c>
      <c r="C37" t="s">
        <v>78</v>
      </c>
      <c r="D37">
        <v>29</v>
      </c>
      <c r="E37">
        <v>0.45469999999999999</v>
      </c>
      <c r="F37">
        <v>298.97000000000003</v>
      </c>
      <c r="G37">
        <v>208.23</v>
      </c>
      <c r="H37">
        <v>0.69650000000000001</v>
      </c>
      <c r="I37">
        <v>4.5199999999999996</v>
      </c>
      <c r="J37">
        <v>-47.09</v>
      </c>
      <c r="K37" t="s">
        <v>199</v>
      </c>
      <c r="L37">
        <f t="shared" si="1"/>
        <v>4</v>
      </c>
    </row>
    <row r="38" spans="1:12" x14ac:dyDescent="0.2">
      <c r="A38" t="s">
        <v>76</v>
      </c>
      <c r="B38" t="s">
        <v>110</v>
      </c>
      <c r="C38" t="s">
        <v>85</v>
      </c>
      <c r="D38">
        <v>11</v>
      </c>
      <c r="E38">
        <v>0.4541</v>
      </c>
      <c r="F38">
        <v>203.01</v>
      </c>
      <c r="G38">
        <v>74.010000000000005</v>
      </c>
      <c r="H38">
        <v>0.36459999999999998</v>
      </c>
      <c r="I38">
        <v>4.45</v>
      </c>
      <c r="J38">
        <v>-143.05000000000001</v>
      </c>
      <c r="K38" t="s">
        <v>199</v>
      </c>
      <c r="L38">
        <f t="shared" si="1"/>
        <v>4</v>
      </c>
    </row>
    <row r="39" spans="1:12" x14ac:dyDescent="0.2">
      <c r="A39" t="s">
        <v>76</v>
      </c>
      <c r="B39" t="s">
        <v>111</v>
      </c>
      <c r="C39" t="s">
        <v>78</v>
      </c>
      <c r="D39">
        <v>62</v>
      </c>
      <c r="E39">
        <v>0.44879999999999998</v>
      </c>
      <c r="F39">
        <v>303.13</v>
      </c>
      <c r="G39">
        <v>204.78</v>
      </c>
      <c r="H39">
        <v>0.67559999999999998</v>
      </c>
      <c r="I39">
        <v>3.93</v>
      </c>
      <c r="J39">
        <v>-42.93</v>
      </c>
      <c r="K39" t="s">
        <v>199</v>
      </c>
      <c r="L39">
        <f t="shared" si="1"/>
        <v>4</v>
      </c>
    </row>
    <row r="40" spans="1:12" x14ac:dyDescent="0.2">
      <c r="A40" t="s">
        <v>76</v>
      </c>
      <c r="B40" t="s">
        <v>113</v>
      </c>
      <c r="C40" t="s">
        <v>81</v>
      </c>
      <c r="D40">
        <v>111</v>
      </c>
      <c r="E40">
        <v>0.42880000000000001</v>
      </c>
      <c r="F40">
        <v>233.28</v>
      </c>
      <c r="G40">
        <v>154.41999999999999</v>
      </c>
      <c r="H40">
        <v>0.66200000000000003</v>
      </c>
      <c r="I40">
        <v>1.93</v>
      </c>
      <c r="J40">
        <v>-112.78</v>
      </c>
      <c r="K40" t="s">
        <v>199</v>
      </c>
      <c r="L40">
        <f t="shared" si="1"/>
        <v>4</v>
      </c>
    </row>
    <row r="41" spans="1:12" x14ac:dyDescent="0.2">
      <c r="A41" t="s">
        <v>76</v>
      </c>
      <c r="B41" t="s">
        <v>116</v>
      </c>
      <c r="C41" t="s">
        <v>85</v>
      </c>
      <c r="D41">
        <v>11</v>
      </c>
      <c r="E41">
        <v>0.4224</v>
      </c>
      <c r="F41">
        <v>226.74</v>
      </c>
      <c r="G41">
        <v>119.2</v>
      </c>
      <c r="H41">
        <v>0.52569999999999995</v>
      </c>
      <c r="I41">
        <v>1.29</v>
      </c>
      <c r="J41">
        <v>-119.32</v>
      </c>
      <c r="K41" t="s">
        <v>199</v>
      </c>
      <c r="L41">
        <f t="shared" si="1"/>
        <v>4</v>
      </c>
    </row>
    <row r="42" spans="1:12" x14ac:dyDescent="0.2">
      <c r="A42" t="s">
        <v>76</v>
      </c>
      <c r="B42" t="s">
        <v>117</v>
      </c>
      <c r="C42" t="s">
        <v>78</v>
      </c>
      <c r="D42">
        <v>46</v>
      </c>
      <c r="E42">
        <v>0.4224</v>
      </c>
      <c r="F42">
        <v>307.36</v>
      </c>
      <c r="G42">
        <v>215.19</v>
      </c>
      <c r="H42">
        <v>0.70009999999999994</v>
      </c>
      <c r="I42">
        <v>1.29</v>
      </c>
      <c r="J42">
        <v>-38.700000000000003</v>
      </c>
      <c r="K42" t="s">
        <v>199</v>
      </c>
      <c r="L42">
        <f t="shared" si="1"/>
        <v>4</v>
      </c>
    </row>
    <row r="43" spans="1:12" x14ac:dyDescent="0.2">
      <c r="A43" t="s">
        <v>76</v>
      </c>
      <c r="B43" t="s">
        <v>118</v>
      </c>
      <c r="C43" t="s">
        <v>85</v>
      </c>
      <c r="D43">
        <v>23</v>
      </c>
      <c r="E43">
        <v>0.41820000000000002</v>
      </c>
      <c r="F43">
        <v>216.69</v>
      </c>
      <c r="G43">
        <v>172.04</v>
      </c>
      <c r="H43">
        <v>0.79400000000000004</v>
      </c>
      <c r="I43">
        <v>0.87</v>
      </c>
      <c r="J43">
        <v>-129.37</v>
      </c>
      <c r="K43" t="s">
        <v>199</v>
      </c>
      <c r="L43">
        <f t="shared" si="1"/>
        <v>4</v>
      </c>
    </row>
    <row r="44" spans="1:12" x14ac:dyDescent="0.2">
      <c r="A44" t="s">
        <v>76</v>
      </c>
      <c r="B44" t="s">
        <v>119</v>
      </c>
      <c r="C44" t="s">
        <v>81</v>
      </c>
      <c r="D44">
        <v>48</v>
      </c>
      <c r="E44">
        <v>0.41649999999999998</v>
      </c>
      <c r="F44">
        <v>241.68</v>
      </c>
      <c r="G44">
        <v>97.17</v>
      </c>
      <c r="H44">
        <v>0.40210000000000001</v>
      </c>
      <c r="I44">
        <v>0.7</v>
      </c>
      <c r="J44">
        <v>-104.38</v>
      </c>
      <c r="K44" t="s">
        <v>199</v>
      </c>
      <c r="L44">
        <f t="shared" si="1"/>
        <v>4</v>
      </c>
    </row>
    <row r="45" spans="1:12" x14ac:dyDescent="0.2">
      <c r="A45" t="s">
        <v>76</v>
      </c>
      <c r="B45" t="s">
        <v>120</v>
      </c>
      <c r="C45" t="s">
        <v>81</v>
      </c>
      <c r="D45">
        <v>30</v>
      </c>
      <c r="E45">
        <v>0.41639999999999999</v>
      </c>
      <c r="F45">
        <v>293.01</v>
      </c>
      <c r="G45">
        <v>209.85</v>
      </c>
      <c r="H45">
        <v>0.71619999999999995</v>
      </c>
      <c r="I45">
        <v>0.68</v>
      </c>
      <c r="J45">
        <v>-53.05</v>
      </c>
      <c r="K45" t="s">
        <v>199</v>
      </c>
      <c r="L45">
        <f t="shared" si="1"/>
        <v>4</v>
      </c>
    </row>
    <row r="46" spans="1:12" x14ac:dyDescent="0.2">
      <c r="A46" t="s">
        <v>76</v>
      </c>
      <c r="B46" t="s">
        <v>121</v>
      </c>
      <c r="C46" t="s">
        <v>78</v>
      </c>
      <c r="D46">
        <v>121</v>
      </c>
      <c r="E46">
        <v>0.41339999999999999</v>
      </c>
      <c r="F46">
        <v>295.86</v>
      </c>
      <c r="G46">
        <v>198.96</v>
      </c>
      <c r="H46">
        <v>0.67249999999999999</v>
      </c>
      <c r="I46">
        <v>0.39</v>
      </c>
      <c r="J46">
        <v>-50.2</v>
      </c>
      <c r="K46" t="s">
        <v>199</v>
      </c>
      <c r="L46">
        <f t="shared" si="1"/>
        <v>4</v>
      </c>
    </row>
    <row r="47" spans="1:12" x14ac:dyDescent="0.2">
      <c r="A47" t="s">
        <v>76</v>
      </c>
      <c r="B47" t="s">
        <v>122</v>
      </c>
      <c r="C47" t="s">
        <v>85</v>
      </c>
      <c r="D47">
        <v>23</v>
      </c>
      <c r="E47">
        <v>0.4133</v>
      </c>
      <c r="F47">
        <v>185.29</v>
      </c>
      <c r="G47">
        <v>107.66</v>
      </c>
      <c r="H47">
        <v>0.58099999999999996</v>
      </c>
      <c r="I47">
        <v>0.38</v>
      </c>
      <c r="J47">
        <v>-160.77000000000001</v>
      </c>
      <c r="K47" t="s">
        <v>199</v>
      </c>
      <c r="L47">
        <f t="shared" si="1"/>
        <v>4</v>
      </c>
    </row>
    <row r="48" spans="1:12" x14ac:dyDescent="0.2">
      <c r="A48" t="s">
        <v>11</v>
      </c>
      <c r="B48" t="s">
        <v>21</v>
      </c>
      <c r="C48" t="s">
        <v>13</v>
      </c>
      <c r="D48">
        <v>2425</v>
      </c>
      <c r="E48">
        <v>0.3115</v>
      </c>
      <c r="F48">
        <v>1669.34</v>
      </c>
      <c r="G48">
        <v>1832.51</v>
      </c>
      <c r="H48">
        <v>1.0976999999999999</v>
      </c>
      <c r="I48">
        <v>0.95</v>
      </c>
      <c r="J48">
        <v>-585.47</v>
      </c>
      <c r="K48" t="s">
        <v>201</v>
      </c>
      <c r="L48">
        <f t="shared" si="1"/>
        <v>5</v>
      </c>
    </row>
    <row r="49" spans="1:12" x14ac:dyDescent="0.2">
      <c r="A49" t="s">
        <v>11</v>
      </c>
      <c r="B49" t="s">
        <v>22</v>
      </c>
      <c r="C49" t="s">
        <v>13</v>
      </c>
      <c r="D49">
        <v>1389</v>
      </c>
      <c r="E49">
        <v>0.30630000000000002</v>
      </c>
      <c r="F49">
        <v>1977.94</v>
      </c>
      <c r="G49">
        <v>3519.87</v>
      </c>
      <c r="H49">
        <v>1.7796000000000001</v>
      </c>
      <c r="I49">
        <v>0.43</v>
      </c>
      <c r="J49">
        <v>-276.86</v>
      </c>
      <c r="K49" t="s">
        <v>201</v>
      </c>
      <c r="L49">
        <f t="shared" si="1"/>
        <v>5</v>
      </c>
    </row>
    <row r="50" spans="1:12" x14ac:dyDescent="0.2">
      <c r="A50" t="s">
        <v>37</v>
      </c>
      <c r="B50" t="s">
        <v>40</v>
      </c>
      <c r="C50" t="s">
        <v>13</v>
      </c>
      <c r="D50">
        <v>28</v>
      </c>
      <c r="E50">
        <v>0.50670000000000004</v>
      </c>
      <c r="F50">
        <v>322.69</v>
      </c>
      <c r="G50">
        <v>369.72</v>
      </c>
      <c r="H50">
        <v>1.1456999999999999</v>
      </c>
      <c r="I50">
        <v>16.72</v>
      </c>
      <c r="J50">
        <v>-35.74</v>
      </c>
      <c r="K50" t="s">
        <v>201</v>
      </c>
      <c r="L50">
        <f t="shared" si="1"/>
        <v>5</v>
      </c>
    </row>
    <row r="51" spans="1:12" x14ac:dyDescent="0.2">
      <c r="A51" t="s">
        <v>37</v>
      </c>
      <c r="B51" t="s">
        <v>55</v>
      </c>
      <c r="C51" t="s">
        <v>13</v>
      </c>
      <c r="D51">
        <v>182</v>
      </c>
      <c r="E51">
        <v>0.4335</v>
      </c>
      <c r="F51">
        <v>324.93</v>
      </c>
      <c r="G51">
        <v>279.77999999999997</v>
      </c>
      <c r="H51">
        <v>0.86099999999999999</v>
      </c>
      <c r="I51">
        <v>9.4</v>
      </c>
      <c r="J51">
        <v>-33.51</v>
      </c>
      <c r="K51" t="s">
        <v>201</v>
      </c>
      <c r="L51">
        <f t="shared" si="1"/>
        <v>5</v>
      </c>
    </row>
    <row r="52" spans="1:12" x14ac:dyDescent="0.2">
      <c r="A52" t="s">
        <v>37</v>
      </c>
      <c r="B52" t="s">
        <v>67</v>
      </c>
      <c r="C52" t="s">
        <v>13</v>
      </c>
      <c r="D52">
        <v>14</v>
      </c>
      <c r="E52">
        <v>0.3624</v>
      </c>
      <c r="F52">
        <v>281.27999999999997</v>
      </c>
      <c r="G52">
        <v>225.78</v>
      </c>
      <c r="H52">
        <v>0.80269999999999997</v>
      </c>
      <c r="I52">
        <v>2.29</v>
      </c>
      <c r="J52">
        <v>-77.16</v>
      </c>
      <c r="K52" t="s">
        <v>201</v>
      </c>
      <c r="L52">
        <f t="shared" si="1"/>
        <v>5</v>
      </c>
    </row>
    <row r="53" spans="1:12" x14ac:dyDescent="0.2">
      <c r="A53" t="s">
        <v>76</v>
      </c>
      <c r="B53" t="s">
        <v>77</v>
      </c>
      <c r="C53" t="s">
        <v>78</v>
      </c>
      <c r="D53">
        <v>32</v>
      </c>
      <c r="E53">
        <v>0.68110000000000004</v>
      </c>
      <c r="F53">
        <v>236.45</v>
      </c>
      <c r="G53">
        <v>215.86</v>
      </c>
      <c r="H53">
        <v>0.91290000000000004</v>
      </c>
      <c r="I53">
        <v>27.16</v>
      </c>
      <c r="J53">
        <v>-109.61</v>
      </c>
      <c r="K53" t="s">
        <v>201</v>
      </c>
      <c r="L53">
        <f t="shared" si="1"/>
        <v>5</v>
      </c>
    </row>
    <row r="54" spans="1:12" x14ac:dyDescent="0.2">
      <c r="A54" t="s">
        <v>76</v>
      </c>
      <c r="B54" t="s">
        <v>80</v>
      </c>
      <c r="C54" t="s">
        <v>81</v>
      </c>
      <c r="D54">
        <v>14</v>
      </c>
      <c r="E54">
        <v>0.61150000000000004</v>
      </c>
      <c r="F54">
        <v>326.24</v>
      </c>
      <c r="G54">
        <v>268.75</v>
      </c>
      <c r="H54">
        <v>0.82379999999999998</v>
      </c>
      <c r="I54">
        <v>20.2</v>
      </c>
      <c r="J54">
        <v>-19.82</v>
      </c>
      <c r="K54" t="s">
        <v>201</v>
      </c>
      <c r="L54">
        <f t="shared" si="1"/>
        <v>5</v>
      </c>
    </row>
    <row r="55" spans="1:12" x14ac:dyDescent="0.2">
      <c r="A55" t="s">
        <v>76</v>
      </c>
      <c r="B55" t="s">
        <v>90</v>
      </c>
      <c r="C55" t="s">
        <v>85</v>
      </c>
      <c r="D55">
        <v>26</v>
      </c>
      <c r="E55">
        <v>0.53669999999999995</v>
      </c>
      <c r="F55">
        <v>270.29000000000002</v>
      </c>
      <c r="G55">
        <v>248.9</v>
      </c>
      <c r="H55">
        <v>0.92090000000000005</v>
      </c>
      <c r="I55">
        <v>12.72</v>
      </c>
      <c r="J55">
        <v>-75.77</v>
      </c>
      <c r="K55" t="s">
        <v>201</v>
      </c>
      <c r="L55">
        <f t="shared" si="1"/>
        <v>5</v>
      </c>
    </row>
    <row r="56" spans="1:12" x14ac:dyDescent="0.2">
      <c r="A56" t="s">
        <v>11</v>
      </c>
      <c r="B56" t="s">
        <v>17</v>
      </c>
      <c r="C56" t="s">
        <v>13</v>
      </c>
      <c r="D56">
        <v>10971</v>
      </c>
      <c r="E56">
        <v>0.31459999999999999</v>
      </c>
      <c r="F56">
        <v>2515.77</v>
      </c>
      <c r="G56">
        <v>4669.6400000000003</v>
      </c>
      <c r="H56">
        <v>1.8561000000000001</v>
      </c>
      <c r="I56">
        <v>1.25</v>
      </c>
      <c r="J56">
        <v>260.97000000000003</v>
      </c>
      <c r="K56" t="s">
        <v>200</v>
      </c>
      <c r="L56">
        <f t="shared" si="1"/>
        <v>3</v>
      </c>
    </row>
    <row r="57" spans="1:12" x14ac:dyDescent="0.2">
      <c r="A57" t="s">
        <v>37</v>
      </c>
      <c r="B57" t="s">
        <v>49</v>
      </c>
      <c r="C57" t="s">
        <v>13</v>
      </c>
      <c r="D57">
        <v>52</v>
      </c>
      <c r="E57">
        <v>0.46489999999999998</v>
      </c>
      <c r="F57">
        <v>370.71</v>
      </c>
      <c r="G57">
        <v>221.12</v>
      </c>
      <c r="H57">
        <v>0.59650000000000003</v>
      </c>
      <c r="I57">
        <v>12.54</v>
      </c>
      <c r="J57">
        <v>12.27</v>
      </c>
      <c r="K57" t="s">
        <v>200</v>
      </c>
      <c r="L57">
        <f t="shared" si="1"/>
        <v>3</v>
      </c>
    </row>
    <row r="58" spans="1:12" x14ac:dyDescent="0.2">
      <c r="A58" t="s">
        <v>37</v>
      </c>
      <c r="B58" t="s">
        <v>50</v>
      </c>
      <c r="C58" t="s">
        <v>13</v>
      </c>
      <c r="D58">
        <v>170</v>
      </c>
      <c r="E58">
        <v>0.4642</v>
      </c>
      <c r="F58">
        <v>417.01</v>
      </c>
      <c r="G58">
        <v>437.53</v>
      </c>
      <c r="H58">
        <v>1.0491999999999999</v>
      </c>
      <c r="I58">
        <v>12.47</v>
      </c>
      <c r="J58">
        <v>58.57</v>
      </c>
      <c r="K58" t="s">
        <v>200</v>
      </c>
      <c r="L58">
        <f t="shared" si="1"/>
        <v>3</v>
      </c>
    </row>
    <row r="59" spans="1:12" x14ac:dyDescent="0.2">
      <c r="A59" t="s">
        <v>37</v>
      </c>
      <c r="B59" t="s">
        <v>54</v>
      </c>
      <c r="C59" t="s">
        <v>13</v>
      </c>
      <c r="D59">
        <v>46</v>
      </c>
      <c r="E59">
        <v>0.43719999999999998</v>
      </c>
      <c r="F59">
        <v>375.86</v>
      </c>
      <c r="G59">
        <v>399.12</v>
      </c>
      <c r="H59">
        <v>1.0619000000000001</v>
      </c>
      <c r="I59">
        <v>9.77</v>
      </c>
      <c r="J59">
        <v>17.43</v>
      </c>
      <c r="K59" t="s">
        <v>200</v>
      </c>
      <c r="L59">
        <f t="shared" si="1"/>
        <v>3</v>
      </c>
    </row>
    <row r="60" spans="1:12" x14ac:dyDescent="0.2">
      <c r="A60" t="s">
        <v>37</v>
      </c>
      <c r="B60" t="s">
        <v>62</v>
      </c>
      <c r="C60" t="s">
        <v>13</v>
      </c>
      <c r="D60">
        <v>250</v>
      </c>
      <c r="E60">
        <v>0.3775</v>
      </c>
      <c r="F60">
        <v>384.04</v>
      </c>
      <c r="G60">
        <v>313.79000000000002</v>
      </c>
      <c r="H60">
        <v>0.81710000000000005</v>
      </c>
      <c r="I60">
        <v>3.8</v>
      </c>
      <c r="J60">
        <v>25.6</v>
      </c>
      <c r="K60" t="s">
        <v>200</v>
      </c>
      <c r="L60">
        <f t="shared" si="1"/>
        <v>3</v>
      </c>
    </row>
    <row r="61" spans="1:12" x14ac:dyDescent="0.2">
      <c r="A61" t="s">
        <v>37</v>
      </c>
      <c r="B61" t="s">
        <v>64</v>
      </c>
      <c r="C61" t="s">
        <v>13</v>
      </c>
      <c r="D61">
        <v>26</v>
      </c>
      <c r="E61">
        <v>0.37069999999999997</v>
      </c>
      <c r="F61">
        <v>718.56</v>
      </c>
      <c r="G61">
        <v>776.58</v>
      </c>
      <c r="H61">
        <v>1.0807</v>
      </c>
      <c r="I61">
        <v>3.12</v>
      </c>
      <c r="J61">
        <v>360.12</v>
      </c>
      <c r="K61" t="s">
        <v>200</v>
      </c>
      <c r="L61">
        <f t="shared" si="1"/>
        <v>3</v>
      </c>
    </row>
    <row r="62" spans="1:12" x14ac:dyDescent="0.2">
      <c r="A62" t="s">
        <v>37</v>
      </c>
      <c r="B62" t="s">
        <v>65</v>
      </c>
      <c r="C62" t="s">
        <v>13</v>
      </c>
      <c r="D62">
        <v>184</v>
      </c>
      <c r="E62">
        <v>0.36849999999999999</v>
      </c>
      <c r="F62">
        <v>439.19</v>
      </c>
      <c r="G62">
        <v>328.12</v>
      </c>
      <c r="H62">
        <v>0.74709999999999999</v>
      </c>
      <c r="I62">
        <v>2.9</v>
      </c>
      <c r="J62">
        <v>80.760000000000005</v>
      </c>
      <c r="K62" t="s">
        <v>200</v>
      </c>
      <c r="L62">
        <f t="shared" si="1"/>
        <v>3</v>
      </c>
    </row>
    <row r="63" spans="1:12" x14ac:dyDescent="0.2">
      <c r="A63" t="s">
        <v>37</v>
      </c>
      <c r="B63" t="s">
        <v>66</v>
      </c>
      <c r="C63" t="s">
        <v>13</v>
      </c>
      <c r="D63">
        <v>59</v>
      </c>
      <c r="E63">
        <v>0.36549999999999999</v>
      </c>
      <c r="F63">
        <v>380.07</v>
      </c>
      <c r="G63">
        <v>213.24</v>
      </c>
      <c r="H63">
        <v>0.56110000000000004</v>
      </c>
      <c r="I63">
        <v>2.6</v>
      </c>
      <c r="J63">
        <v>21.63</v>
      </c>
      <c r="K63" t="s">
        <v>200</v>
      </c>
      <c r="L63">
        <f t="shared" si="1"/>
        <v>3</v>
      </c>
    </row>
    <row r="64" spans="1:12" x14ac:dyDescent="0.2">
      <c r="A64" t="s">
        <v>37</v>
      </c>
      <c r="B64" t="s">
        <v>68</v>
      </c>
      <c r="C64" t="s">
        <v>13</v>
      </c>
      <c r="D64">
        <v>330</v>
      </c>
      <c r="E64">
        <v>0.34029999999999999</v>
      </c>
      <c r="F64">
        <v>436.35</v>
      </c>
      <c r="G64">
        <v>554.91999999999996</v>
      </c>
      <c r="H64">
        <v>1.2717000000000001</v>
      </c>
      <c r="I64">
        <v>0.08</v>
      </c>
      <c r="J64">
        <v>77.91</v>
      </c>
      <c r="K64" t="s">
        <v>200</v>
      </c>
      <c r="L64">
        <f t="shared" si="1"/>
        <v>3</v>
      </c>
    </row>
    <row r="65" spans="1:12" x14ac:dyDescent="0.2">
      <c r="A65" t="s">
        <v>76</v>
      </c>
      <c r="B65" t="s">
        <v>79</v>
      </c>
      <c r="C65" t="s">
        <v>78</v>
      </c>
      <c r="D65">
        <v>22</v>
      </c>
      <c r="E65">
        <v>0.64610000000000001</v>
      </c>
      <c r="F65">
        <v>585.47</v>
      </c>
      <c r="G65">
        <v>672.89</v>
      </c>
      <c r="H65">
        <v>1.1493</v>
      </c>
      <c r="I65">
        <v>23.66</v>
      </c>
      <c r="J65">
        <v>239.41</v>
      </c>
      <c r="K65" t="s">
        <v>200</v>
      </c>
      <c r="L65">
        <f t="shared" si="1"/>
        <v>3</v>
      </c>
    </row>
    <row r="66" spans="1:12" x14ac:dyDescent="0.2">
      <c r="A66" t="s">
        <v>76</v>
      </c>
      <c r="B66" t="s">
        <v>83</v>
      </c>
      <c r="C66" t="s">
        <v>81</v>
      </c>
      <c r="D66">
        <v>13</v>
      </c>
      <c r="E66">
        <v>0.57010000000000005</v>
      </c>
      <c r="F66">
        <v>382.06</v>
      </c>
      <c r="G66">
        <v>219.38</v>
      </c>
      <c r="H66">
        <v>0.57420000000000004</v>
      </c>
      <c r="I66">
        <v>16.059999999999999</v>
      </c>
      <c r="J66">
        <v>36</v>
      </c>
      <c r="K66" t="s">
        <v>200</v>
      </c>
      <c r="L66">
        <f t="shared" ref="L66:L97" si="2">IF(K66="GO -- high demand, underpriced, volatile market",5,IF(K66="GO -- high demand, underpriced",4,IF(K66="MONITOR -- high demand, already premium",3,IF(K66="NO GO -- low demand, low price",2,1))))</f>
        <v>3</v>
      </c>
    </row>
    <row r="67" spans="1:12" x14ac:dyDescent="0.2">
      <c r="A67" t="s">
        <v>76</v>
      </c>
      <c r="B67" t="s">
        <v>87</v>
      </c>
      <c r="C67" t="s">
        <v>78</v>
      </c>
      <c r="D67">
        <v>38</v>
      </c>
      <c r="E67">
        <v>0.56679999999999997</v>
      </c>
      <c r="F67">
        <v>360.52</v>
      </c>
      <c r="G67">
        <v>255.06</v>
      </c>
      <c r="H67">
        <v>0.70750000000000002</v>
      </c>
      <c r="I67">
        <v>15.72</v>
      </c>
      <c r="J67">
        <v>14.46</v>
      </c>
      <c r="K67" t="s">
        <v>200</v>
      </c>
      <c r="L67">
        <f t="shared" si="2"/>
        <v>3</v>
      </c>
    </row>
    <row r="68" spans="1:12" x14ac:dyDescent="0.2">
      <c r="A68" t="s">
        <v>76</v>
      </c>
      <c r="B68" t="s">
        <v>89</v>
      </c>
      <c r="C68" t="s">
        <v>78</v>
      </c>
      <c r="D68">
        <v>44</v>
      </c>
      <c r="E68">
        <v>0.53849999999999998</v>
      </c>
      <c r="F68">
        <v>613.5</v>
      </c>
      <c r="G68">
        <v>431.35</v>
      </c>
      <c r="H68">
        <v>0.70309999999999995</v>
      </c>
      <c r="I68">
        <v>12.9</v>
      </c>
      <c r="J68">
        <v>267.44</v>
      </c>
      <c r="K68" t="s">
        <v>200</v>
      </c>
      <c r="L68">
        <f t="shared" si="2"/>
        <v>3</v>
      </c>
    </row>
    <row r="69" spans="1:12" x14ac:dyDescent="0.2">
      <c r="A69" t="s">
        <v>76</v>
      </c>
      <c r="B69" t="s">
        <v>91</v>
      </c>
      <c r="C69" t="s">
        <v>78</v>
      </c>
      <c r="D69">
        <v>25</v>
      </c>
      <c r="E69">
        <v>0.52380000000000004</v>
      </c>
      <c r="F69">
        <v>432.51</v>
      </c>
      <c r="G69">
        <v>244.44</v>
      </c>
      <c r="H69">
        <v>0.56520000000000004</v>
      </c>
      <c r="I69">
        <v>11.43</v>
      </c>
      <c r="J69">
        <v>86.45</v>
      </c>
      <c r="K69" t="s">
        <v>200</v>
      </c>
      <c r="L69">
        <f t="shared" si="2"/>
        <v>3</v>
      </c>
    </row>
    <row r="70" spans="1:12" x14ac:dyDescent="0.2">
      <c r="A70" t="s">
        <v>76</v>
      </c>
      <c r="B70" t="s">
        <v>92</v>
      </c>
      <c r="C70" t="s">
        <v>81</v>
      </c>
      <c r="D70">
        <v>15</v>
      </c>
      <c r="E70">
        <v>0.52159999999999995</v>
      </c>
      <c r="F70">
        <v>369.37</v>
      </c>
      <c r="G70">
        <v>259.43</v>
      </c>
      <c r="H70">
        <v>0.70240000000000002</v>
      </c>
      <c r="I70">
        <v>11.21</v>
      </c>
      <c r="J70">
        <v>23.31</v>
      </c>
      <c r="K70" t="s">
        <v>200</v>
      </c>
      <c r="L70">
        <f t="shared" si="2"/>
        <v>3</v>
      </c>
    </row>
    <row r="71" spans="1:12" x14ac:dyDescent="0.2">
      <c r="A71" t="s">
        <v>76</v>
      </c>
      <c r="B71" t="s">
        <v>94</v>
      </c>
      <c r="C71" t="s">
        <v>78</v>
      </c>
      <c r="D71">
        <v>22</v>
      </c>
      <c r="E71">
        <v>0.5151</v>
      </c>
      <c r="F71">
        <v>603.16999999999996</v>
      </c>
      <c r="G71">
        <v>366.12</v>
      </c>
      <c r="H71">
        <v>0.60699999999999998</v>
      </c>
      <c r="I71">
        <v>10.56</v>
      </c>
      <c r="J71">
        <v>257.11</v>
      </c>
      <c r="K71" t="s">
        <v>200</v>
      </c>
      <c r="L71">
        <f t="shared" si="2"/>
        <v>3</v>
      </c>
    </row>
    <row r="72" spans="1:12" x14ac:dyDescent="0.2">
      <c r="A72" t="s">
        <v>76</v>
      </c>
      <c r="B72" t="s">
        <v>95</v>
      </c>
      <c r="C72" t="s">
        <v>78</v>
      </c>
      <c r="D72">
        <v>61</v>
      </c>
      <c r="E72">
        <v>0.5131</v>
      </c>
      <c r="F72">
        <v>514.30999999999995</v>
      </c>
      <c r="G72">
        <v>503.48</v>
      </c>
      <c r="H72">
        <v>0.97889999999999999</v>
      </c>
      <c r="I72">
        <v>10.36</v>
      </c>
      <c r="J72">
        <v>168.25</v>
      </c>
      <c r="K72" t="s">
        <v>200</v>
      </c>
      <c r="L72">
        <f t="shared" si="2"/>
        <v>3</v>
      </c>
    </row>
    <row r="73" spans="1:12" x14ac:dyDescent="0.2">
      <c r="A73" t="s">
        <v>76</v>
      </c>
      <c r="B73" t="s">
        <v>96</v>
      </c>
      <c r="C73" t="s">
        <v>81</v>
      </c>
      <c r="D73">
        <v>56</v>
      </c>
      <c r="E73">
        <v>0.49199999999999999</v>
      </c>
      <c r="F73">
        <v>396.03</v>
      </c>
      <c r="G73">
        <v>139.68</v>
      </c>
      <c r="H73">
        <v>0.35270000000000001</v>
      </c>
      <c r="I73">
        <v>8.25</v>
      </c>
      <c r="J73">
        <v>49.97</v>
      </c>
      <c r="K73" t="s">
        <v>200</v>
      </c>
      <c r="L73">
        <f t="shared" si="2"/>
        <v>3</v>
      </c>
    </row>
    <row r="74" spans="1:12" x14ac:dyDescent="0.2">
      <c r="A74" t="s">
        <v>76</v>
      </c>
      <c r="B74" t="s">
        <v>104</v>
      </c>
      <c r="C74" t="s">
        <v>78</v>
      </c>
      <c r="D74">
        <v>20</v>
      </c>
      <c r="E74">
        <v>0.47149999999999997</v>
      </c>
      <c r="F74">
        <v>352.41</v>
      </c>
      <c r="G74">
        <v>248.85</v>
      </c>
      <c r="H74">
        <v>0.70609999999999995</v>
      </c>
      <c r="I74">
        <v>6.2</v>
      </c>
      <c r="J74">
        <v>6.35</v>
      </c>
      <c r="K74" t="s">
        <v>200</v>
      </c>
      <c r="L74">
        <f t="shared" si="2"/>
        <v>3</v>
      </c>
    </row>
    <row r="75" spans="1:12" x14ac:dyDescent="0.2">
      <c r="A75" t="s">
        <v>76</v>
      </c>
      <c r="B75" t="s">
        <v>107</v>
      </c>
      <c r="C75" t="s">
        <v>78</v>
      </c>
      <c r="D75">
        <v>85</v>
      </c>
      <c r="E75">
        <v>0.46560000000000001</v>
      </c>
      <c r="F75">
        <v>549.72</v>
      </c>
      <c r="G75">
        <v>305.94</v>
      </c>
      <c r="H75">
        <v>0.55649999999999999</v>
      </c>
      <c r="I75">
        <v>5.61</v>
      </c>
      <c r="J75">
        <v>203.66</v>
      </c>
      <c r="K75" t="s">
        <v>200</v>
      </c>
      <c r="L75">
        <f t="shared" si="2"/>
        <v>3</v>
      </c>
    </row>
    <row r="76" spans="1:12" x14ac:dyDescent="0.2">
      <c r="A76" t="s">
        <v>76</v>
      </c>
      <c r="B76" t="s">
        <v>108</v>
      </c>
      <c r="C76" t="s">
        <v>81</v>
      </c>
      <c r="D76">
        <v>137</v>
      </c>
      <c r="E76">
        <v>0.45669999999999999</v>
      </c>
      <c r="F76">
        <v>365.89</v>
      </c>
      <c r="G76">
        <v>294.26</v>
      </c>
      <c r="H76">
        <v>0.80420000000000003</v>
      </c>
      <c r="I76">
        <v>4.72</v>
      </c>
      <c r="J76">
        <v>19.829999999999998</v>
      </c>
      <c r="K76" t="s">
        <v>200</v>
      </c>
      <c r="L76">
        <f t="shared" si="2"/>
        <v>3</v>
      </c>
    </row>
    <row r="77" spans="1:12" x14ac:dyDescent="0.2">
      <c r="A77" t="s">
        <v>76</v>
      </c>
      <c r="B77" t="s">
        <v>112</v>
      </c>
      <c r="C77" t="s">
        <v>78</v>
      </c>
      <c r="D77">
        <v>97</v>
      </c>
      <c r="E77">
        <v>0.43120000000000003</v>
      </c>
      <c r="F77">
        <v>486.68</v>
      </c>
      <c r="G77">
        <v>414.86</v>
      </c>
      <c r="H77">
        <v>0.85240000000000005</v>
      </c>
      <c r="I77">
        <v>2.17</v>
      </c>
      <c r="J77">
        <v>140.62</v>
      </c>
      <c r="K77" t="s">
        <v>200</v>
      </c>
      <c r="L77">
        <f t="shared" si="2"/>
        <v>3</v>
      </c>
    </row>
    <row r="78" spans="1:12" x14ac:dyDescent="0.2">
      <c r="A78" t="s">
        <v>76</v>
      </c>
      <c r="B78" t="s">
        <v>114</v>
      </c>
      <c r="C78" t="s">
        <v>85</v>
      </c>
      <c r="D78">
        <v>55</v>
      </c>
      <c r="E78">
        <v>0.42820000000000003</v>
      </c>
      <c r="F78">
        <v>759.8</v>
      </c>
      <c r="G78">
        <v>2242.0500000000002</v>
      </c>
      <c r="H78">
        <v>2.9508000000000001</v>
      </c>
      <c r="I78">
        <v>1.87</v>
      </c>
      <c r="J78">
        <v>413.74</v>
      </c>
      <c r="K78" t="s">
        <v>200</v>
      </c>
      <c r="L78">
        <f t="shared" si="2"/>
        <v>3</v>
      </c>
    </row>
    <row r="79" spans="1:12" x14ac:dyDescent="0.2">
      <c r="A79" t="s">
        <v>76</v>
      </c>
      <c r="B79" t="s">
        <v>115</v>
      </c>
      <c r="C79" t="s">
        <v>78</v>
      </c>
      <c r="D79">
        <v>197</v>
      </c>
      <c r="E79">
        <v>0.4249</v>
      </c>
      <c r="F79">
        <v>411.62</v>
      </c>
      <c r="G79">
        <v>452.85</v>
      </c>
      <c r="H79">
        <v>1.1002000000000001</v>
      </c>
      <c r="I79">
        <v>1.54</v>
      </c>
      <c r="J79">
        <v>65.56</v>
      </c>
      <c r="K79" t="s">
        <v>200</v>
      </c>
      <c r="L79">
        <f t="shared" si="2"/>
        <v>3</v>
      </c>
    </row>
    <row r="80" spans="1:12" x14ac:dyDescent="0.2">
      <c r="A80" t="s">
        <v>11</v>
      </c>
      <c r="B80" t="s">
        <v>26</v>
      </c>
      <c r="C80" t="s">
        <v>13</v>
      </c>
      <c r="D80">
        <v>102</v>
      </c>
      <c r="E80">
        <v>0.2787</v>
      </c>
      <c r="F80">
        <v>2137.29</v>
      </c>
      <c r="G80">
        <v>2987.5</v>
      </c>
      <c r="H80">
        <v>1.3977999999999999</v>
      </c>
      <c r="I80">
        <v>-2.33</v>
      </c>
      <c r="J80">
        <v>-117.51</v>
      </c>
      <c r="K80" t="s">
        <v>203</v>
      </c>
      <c r="L80">
        <f t="shared" si="2"/>
        <v>2</v>
      </c>
    </row>
    <row r="81" spans="1:12" x14ac:dyDescent="0.2">
      <c r="A81" t="s">
        <v>11</v>
      </c>
      <c r="B81" t="s">
        <v>29</v>
      </c>
      <c r="C81" t="s">
        <v>13</v>
      </c>
      <c r="D81">
        <v>440</v>
      </c>
      <c r="E81">
        <v>0.25509999999999999</v>
      </c>
      <c r="F81">
        <v>1135.18</v>
      </c>
      <c r="G81">
        <v>1668.8</v>
      </c>
      <c r="H81">
        <v>1.4701</v>
      </c>
      <c r="I81">
        <v>-4.6900000000000004</v>
      </c>
      <c r="J81">
        <v>-1119.6199999999999</v>
      </c>
      <c r="K81" t="s">
        <v>203</v>
      </c>
      <c r="L81">
        <f t="shared" si="2"/>
        <v>2</v>
      </c>
    </row>
    <row r="82" spans="1:12" x14ac:dyDescent="0.2">
      <c r="A82" t="s">
        <v>11</v>
      </c>
      <c r="B82" t="s">
        <v>30</v>
      </c>
      <c r="C82" t="s">
        <v>13</v>
      </c>
      <c r="D82">
        <v>689</v>
      </c>
      <c r="E82">
        <v>0.25280000000000002</v>
      </c>
      <c r="F82">
        <v>1856.52</v>
      </c>
      <c r="G82">
        <v>3637.16</v>
      </c>
      <c r="H82">
        <v>1.9591000000000001</v>
      </c>
      <c r="I82">
        <v>-4.93</v>
      </c>
      <c r="J82">
        <v>-398.28</v>
      </c>
      <c r="K82" t="s">
        <v>203</v>
      </c>
      <c r="L82">
        <f t="shared" si="2"/>
        <v>2</v>
      </c>
    </row>
    <row r="83" spans="1:12" x14ac:dyDescent="0.2">
      <c r="A83" t="s">
        <v>11</v>
      </c>
      <c r="B83" t="s">
        <v>32</v>
      </c>
      <c r="C83" t="s">
        <v>13</v>
      </c>
      <c r="D83">
        <v>353</v>
      </c>
      <c r="E83">
        <v>0.22789999999999999</v>
      </c>
      <c r="F83">
        <v>1137.1099999999999</v>
      </c>
      <c r="G83">
        <v>1108.97</v>
      </c>
      <c r="H83">
        <v>0.97529999999999994</v>
      </c>
      <c r="I83">
        <v>-7.41</v>
      </c>
      <c r="J83">
        <v>-1117.69</v>
      </c>
      <c r="K83" t="s">
        <v>203</v>
      </c>
      <c r="L83">
        <f t="shared" si="2"/>
        <v>2</v>
      </c>
    </row>
    <row r="84" spans="1:12" x14ac:dyDescent="0.2">
      <c r="A84" t="s">
        <v>11</v>
      </c>
      <c r="B84" t="s">
        <v>33</v>
      </c>
      <c r="C84" t="s">
        <v>13</v>
      </c>
      <c r="D84">
        <v>262</v>
      </c>
      <c r="E84">
        <v>0.18920000000000001</v>
      </c>
      <c r="F84">
        <v>1190.8900000000001</v>
      </c>
      <c r="G84">
        <v>2087.0300000000002</v>
      </c>
      <c r="H84">
        <v>1.7524999999999999</v>
      </c>
      <c r="I84">
        <v>-11.28</v>
      </c>
      <c r="J84">
        <v>-1063.9100000000001</v>
      </c>
      <c r="K84" t="s">
        <v>203</v>
      </c>
      <c r="L84">
        <f t="shared" si="2"/>
        <v>2</v>
      </c>
    </row>
    <row r="85" spans="1:12" x14ac:dyDescent="0.2">
      <c r="A85" t="s">
        <v>11</v>
      </c>
      <c r="B85" t="s">
        <v>34</v>
      </c>
      <c r="C85" t="s">
        <v>13</v>
      </c>
      <c r="D85">
        <v>28</v>
      </c>
      <c r="E85">
        <v>0.1726</v>
      </c>
      <c r="F85">
        <v>804.89</v>
      </c>
      <c r="G85">
        <v>767.15</v>
      </c>
      <c r="H85">
        <v>0.95309999999999995</v>
      </c>
      <c r="I85">
        <v>-12.94</v>
      </c>
      <c r="J85">
        <v>-1449.91</v>
      </c>
      <c r="K85" t="s">
        <v>203</v>
      </c>
      <c r="L85">
        <f t="shared" si="2"/>
        <v>2</v>
      </c>
    </row>
    <row r="86" spans="1:12" x14ac:dyDescent="0.2">
      <c r="A86" t="s">
        <v>11</v>
      </c>
      <c r="B86" t="s">
        <v>35</v>
      </c>
      <c r="C86" t="s">
        <v>13</v>
      </c>
      <c r="D86">
        <v>111</v>
      </c>
      <c r="E86">
        <v>0.17150000000000001</v>
      </c>
      <c r="F86">
        <v>1890.51</v>
      </c>
      <c r="G86">
        <v>2419.0300000000002</v>
      </c>
      <c r="H86">
        <v>1.2796000000000001</v>
      </c>
      <c r="I86">
        <v>-13.05</v>
      </c>
      <c r="J86">
        <v>-364.29</v>
      </c>
      <c r="K86" t="s">
        <v>203</v>
      </c>
      <c r="L86">
        <f t="shared" si="2"/>
        <v>2</v>
      </c>
    </row>
    <row r="87" spans="1:12" x14ac:dyDescent="0.2">
      <c r="A87" t="s">
        <v>11</v>
      </c>
      <c r="B87" t="s">
        <v>36</v>
      </c>
      <c r="C87" t="s">
        <v>13</v>
      </c>
      <c r="D87">
        <v>21</v>
      </c>
      <c r="E87">
        <v>8.1699999999999995E-2</v>
      </c>
      <c r="F87">
        <v>1539.1</v>
      </c>
      <c r="G87">
        <v>1585.37</v>
      </c>
      <c r="H87">
        <v>1.0301</v>
      </c>
      <c r="I87">
        <v>-22.04</v>
      </c>
      <c r="J87">
        <v>-715.71</v>
      </c>
      <c r="K87" t="s">
        <v>203</v>
      </c>
      <c r="L87">
        <f t="shared" si="2"/>
        <v>2</v>
      </c>
    </row>
    <row r="88" spans="1:12" x14ac:dyDescent="0.2">
      <c r="A88" t="s">
        <v>37</v>
      </c>
      <c r="B88" t="s">
        <v>69</v>
      </c>
      <c r="C88" t="s">
        <v>13</v>
      </c>
      <c r="D88">
        <v>227</v>
      </c>
      <c r="E88">
        <v>0.30230000000000001</v>
      </c>
      <c r="F88">
        <v>282.63</v>
      </c>
      <c r="G88">
        <v>176.83</v>
      </c>
      <c r="H88">
        <v>0.62570000000000003</v>
      </c>
      <c r="I88">
        <v>-3.71</v>
      </c>
      <c r="J88">
        <v>-75.81</v>
      </c>
      <c r="K88" t="s">
        <v>203</v>
      </c>
      <c r="L88">
        <f t="shared" si="2"/>
        <v>2</v>
      </c>
    </row>
    <row r="89" spans="1:12" x14ac:dyDescent="0.2">
      <c r="A89" t="s">
        <v>37</v>
      </c>
      <c r="B89" t="s">
        <v>71</v>
      </c>
      <c r="C89" t="s">
        <v>13</v>
      </c>
      <c r="D89">
        <v>125</v>
      </c>
      <c r="E89">
        <v>0.28539999999999999</v>
      </c>
      <c r="F89">
        <v>293.99</v>
      </c>
      <c r="G89">
        <v>378.76</v>
      </c>
      <c r="H89">
        <v>1.2883</v>
      </c>
      <c r="I89">
        <v>-5.41</v>
      </c>
      <c r="J89">
        <v>-64.44</v>
      </c>
      <c r="K89" t="s">
        <v>203</v>
      </c>
      <c r="L89">
        <f t="shared" si="2"/>
        <v>2</v>
      </c>
    </row>
    <row r="90" spans="1:12" x14ac:dyDescent="0.2">
      <c r="A90" t="s">
        <v>37</v>
      </c>
      <c r="B90" t="s">
        <v>72</v>
      </c>
      <c r="C90" t="s">
        <v>13</v>
      </c>
      <c r="D90">
        <v>187</v>
      </c>
      <c r="E90">
        <v>0.2707</v>
      </c>
      <c r="F90">
        <v>306.26</v>
      </c>
      <c r="G90">
        <v>186.29</v>
      </c>
      <c r="H90">
        <v>0.60829999999999995</v>
      </c>
      <c r="I90">
        <v>-6.88</v>
      </c>
      <c r="J90">
        <v>-52.17</v>
      </c>
      <c r="K90" t="s">
        <v>203</v>
      </c>
      <c r="L90">
        <f t="shared" si="2"/>
        <v>2</v>
      </c>
    </row>
    <row r="91" spans="1:12" x14ac:dyDescent="0.2">
      <c r="A91" t="s">
        <v>76</v>
      </c>
      <c r="B91" t="s">
        <v>123</v>
      </c>
      <c r="C91" t="s">
        <v>85</v>
      </c>
      <c r="D91">
        <v>59</v>
      </c>
      <c r="E91">
        <v>0.40910000000000002</v>
      </c>
      <c r="F91">
        <v>152.99</v>
      </c>
      <c r="G91">
        <v>61.22</v>
      </c>
      <c r="H91">
        <v>0.40010000000000001</v>
      </c>
      <c r="I91">
        <v>-0.04</v>
      </c>
      <c r="J91">
        <v>-193.07</v>
      </c>
      <c r="K91" t="s">
        <v>203</v>
      </c>
      <c r="L91">
        <f t="shared" si="2"/>
        <v>2</v>
      </c>
    </row>
    <row r="92" spans="1:12" x14ac:dyDescent="0.2">
      <c r="A92" t="s">
        <v>76</v>
      </c>
      <c r="B92" t="s">
        <v>126</v>
      </c>
      <c r="C92" t="s">
        <v>81</v>
      </c>
      <c r="D92">
        <v>61</v>
      </c>
      <c r="E92">
        <v>0.3947</v>
      </c>
      <c r="F92">
        <v>252.62</v>
      </c>
      <c r="G92">
        <v>153.26</v>
      </c>
      <c r="H92">
        <v>0.60670000000000002</v>
      </c>
      <c r="I92">
        <v>-1.48</v>
      </c>
      <c r="J92">
        <v>-93.44</v>
      </c>
      <c r="K92" t="s">
        <v>203</v>
      </c>
      <c r="L92">
        <f t="shared" si="2"/>
        <v>2</v>
      </c>
    </row>
    <row r="93" spans="1:12" x14ac:dyDescent="0.2">
      <c r="A93" t="s">
        <v>76</v>
      </c>
      <c r="B93" t="s">
        <v>127</v>
      </c>
      <c r="C93" t="s">
        <v>85</v>
      </c>
      <c r="D93">
        <v>25</v>
      </c>
      <c r="E93">
        <v>0.3916</v>
      </c>
      <c r="F93">
        <v>216.29</v>
      </c>
      <c r="G93">
        <v>105.44</v>
      </c>
      <c r="H93">
        <v>0.48749999999999999</v>
      </c>
      <c r="I93">
        <v>-1.8</v>
      </c>
      <c r="J93">
        <v>-129.76</v>
      </c>
      <c r="K93" t="s">
        <v>203</v>
      </c>
      <c r="L93">
        <f t="shared" si="2"/>
        <v>2</v>
      </c>
    </row>
    <row r="94" spans="1:12" x14ac:dyDescent="0.2">
      <c r="A94" t="s">
        <v>76</v>
      </c>
      <c r="B94" t="s">
        <v>128</v>
      </c>
      <c r="C94" t="s">
        <v>85</v>
      </c>
      <c r="D94">
        <v>12</v>
      </c>
      <c r="E94">
        <v>0.39129999999999998</v>
      </c>
      <c r="F94">
        <v>177.21</v>
      </c>
      <c r="G94">
        <v>74.37</v>
      </c>
      <c r="H94">
        <v>0.41970000000000002</v>
      </c>
      <c r="I94">
        <v>-1.82</v>
      </c>
      <c r="J94">
        <v>-168.85</v>
      </c>
      <c r="K94" t="s">
        <v>203</v>
      </c>
      <c r="L94">
        <f t="shared" si="2"/>
        <v>2</v>
      </c>
    </row>
    <row r="95" spans="1:12" x14ac:dyDescent="0.2">
      <c r="A95" t="s">
        <v>76</v>
      </c>
      <c r="B95" t="s">
        <v>129</v>
      </c>
      <c r="C95" t="s">
        <v>85</v>
      </c>
      <c r="D95">
        <v>52</v>
      </c>
      <c r="E95">
        <v>0.39040000000000002</v>
      </c>
      <c r="F95">
        <v>286.44</v>
      </c>
      <c r="G95">
        <v>216.63</v>
      </c>
      <c r="H95">
        <v>0.75629999999999997</v>
      </c>
      <c r="I95">
        <v>-1.91</v>
      </c>
      <c r="J95">
        <v>-59.62</v>
      </c>
      <c r="K95" t="s">
        <v>203</v>
      </c>
      <c r="L95">
        <f t="shared" si="2"/>
        <v>2</v>
      </c>
    </row>
    <row r="96" spans="1:12" x14ac:dyDescent="0.2">
      <c r="A96" t="s">
        <v>76</v>
      </c>
      <c r="B96" t="s">
        <v>130</v>
      </c>
      <c r="C96" t="s">
        <v>81</v>
      </c>
      <c r="D96">
        <v>25</v>
      </c>
      <c r="E96">
        <v>0.38929999999999998</v>
      </c>
      <c r="F96">
        <v>288.38</v>
      </c>
      <c r="G96">
        <v>298</v>
      </c>
      <c r="H96">
        <v>1.0333000000000001</v>
      </c>
      <c r="I96">
        <v>-2.0299999999999998</v>
      </c>
      <c r="J96">
        <v>-57.68</v>
      </c>
      <c r="K96" t="s">
        <v>203</v>
      </c>
      <c r="L96">
        <f t="shared" si="2"/>
        <v>2</v>
      </c>
    </row>
    <row r="97" spans="1:12" x14ac:dyDescent="0.2">
      <c r="A97" t="s">
        <v>76</v>
      </c>
      <c r="B97" t="s">
        <v>131</v>
      </c>
      <c r="C97" t="s">
        <v>85</v>
      </c>
      <c r="D97">
        <v>13</v>
      </c>
      <c r="E97">
        <v>0.38379999999999997</v>
      </c>
      <c r="F97">
        <v>140.47</v>
      </c>
      <c r="G97">
        <v>44.09</v>
      </c>
      <c r="H97">
        <v>0.31390000000000001</v>
      </c>
      <c r="I97">
        <v>-2.57</v>
      </c>
      <c r="J97">
        <v>-205.59</v>
      </c>
      <c r="K97" t="s">
        <v>203</v>
      </c>
      <c r="L97">
        <f t="shared" si="2"/>
        <v>2</v>
      </c>
    </row>
    <row r="98" spans="1:12" x14ac:dyDescent="0.2">
      <c r="A98" t="s">
        <v>76</v>
      </c>
      <c r="B98" t="s">
        <v>133</v>
      </c>
      <c r="C98" t="s">
        <v>81</v>
      </c>
      <c r="D98">
        <v>94</v>
      </c>
      <c r="E98">
        <v>0.376</v>
      </c>
      <c r="F98">
        <v>271.08</v>
      </c>
      <c r="G98">
        <v>183.89</v>
      </c>
      <c r="H98">
        <v>0.67830000000000001</v>
      </c>
      <c r="I98">
        <v>-3.35</v>
      </c>
      <c r="J98">
        <v>-74.98</v>
      </c>
      <c r="K98" t="s">
        <v>203</v>
      </c>
      <c r="L98">
        <f t="shared" ref="L98:L129" si="3">IF(K98="GO -- high demand, underpriced, volatile market",5,IF(K98="GO -- high demand, underpriced",4,IF(K98="MONITOR -- high demand, already premium",3,IF(K98="NO GO -- low demand, low price",2,1))))</f>
        <v>2</v>
      </c>
    </row>
    <row r="99" spans="1:12" x14ac:dyDescent="0.2">
      <c r="A99" t="s">
        <v>76</v>
      </c>
      <c r="B99" t="s">
        <v>134</v>
      </c>
      <c r="C99" t="s">
        <v>85</v>
      </c>
      <c r="D99">
        <v>41</v>
      </c>
      <c r="E99">
        <v>0.37409999999999999</v>
      </c>
      <c r="F99">
        <v>187.41</v>
      </c>
      <c r="G99">
        <v>103.41</v>
      </c>
      <c r="H99">
        <v>0.55179999999999996</v>
      </c>
      <c r="I99">
        <v>-3.54</v>
      </c>
      <c r="J99">
        <v>-158.65</v>
      </c>
      <c r="K99" t="s">
        <v>203</v>
      </c>
      <c r="L99">
        <f t="shared" si="3"/>
        <v>2</v>
      </c>
    </row>
    <row r="100" spans="1:12" x14ac:dyDescent="0.2">
      <c r="A100" t="s">
        <v>76</v>
      </c>
      <c r="B100" t="s">
        <v>135</v>
      </c>
      <c r="C100" t="s">
        <v>85</v>
      </c>
      <c r="D100">
        <v>14</v>
      </c>
      <c r="E100">
        <v>0.36730000000000002</v>
      </c>
      <c r="F100">
        <v>244.44</v>
      </c>
      <c r="G100">
        <v>129.72</v>
      </c>
      <c r="H100">
        <v>0.53069999999999995</v>
      </c>
      <c r="I100">
        <v>-4.22</v>
      </c>
      <c r="J100">
        <v>-101.62</v>
      </c>
      <c r="K100" t="s">
        <v>203</v>
      </c>
      <c r="L100">
        <f t="shared" si="3"/>
        <v>2</v>
      </c>
    </row>
    <row r="101" spans="1:12" x14ac:dyDescent="0.2">
      <c r="A101" t="s">
        <v>76</v>
      </c>
      <c r="B101" t="s">
        <v>138</v>
      </c>
      <c r="C101" t="s">
        <v>85</v>
      </c>
      <c r="D101">
        <v>57</v>
      </c>
      <c r="E101">
        <v>0.33679999999999999</v>
      </c>
      <c r="F101">
        <v>188.98</v>
      </c>
      <c r="G101">
        <v>81.56</v>
      </c>
      <c r="H101">
        <v>0.43159999999999998</v>
      </c>
      <c r="I101">
        <v>-7.28</v>
      </c>
      <c r="J101">
        <v>-157.07</v>
      </c>
      <c r="K101" t="s">
        <v>203</v>
      </c>
      <c r="L101">
        <f t="shared" si="3"/>
        <v>2</v>
      </c>
    </row>
    <row r="102" spans="1:12" x14ac:dyDescent="0.2">
      <c r="A102" t="s">
        <v>76</v>
      </c>
      <c r="B102" t="s">
        <v>139</v>
      </c>
      <c r="C102" t="s">
        <v>85</v>
      </c>
      <c r="D102">
        <v>19</v>
      </c>
      <c r="E102">
        <v>0.32700000000000001</v>
      </c>
      <c r="F102">
        <v>159.22</v>
      </c>
      <c r="G102">
        <v>50.81</v>
      </c>
      <c r="H102">
        <v>0.31909999999999999</v>
      </c>
      <c r="I102">
        <v>-8.25</v>
      </c>
      <c r="J102">
        <v>-186.84</v>
      </c>
      <c r="K102" t="s">
        <v>203</v>
      </c>
      <c r="L102">
        <f t="shared" si="3"/>
        <v>2</v>
      </c>
    </row>
    <row r="103" spans="1:12" x14ac:dyDescent="0.2">
      <c r="A103" t="s">
        <v>76</v>
      </c>
      <c r="B103" t="s">
        <v>140</v>
      </c>
      <c r="C103" t="s">
        <v>103</v>
      </c>
      <c r="D103">
        <v>14</v>
      </c>
      <c r="E103">
        <v>0.3039</v>
      </c>
      <c r="F103">
        <v>226.33</v>
      </c>
      <c r="G103">
        <v>88.16</v>
      </c>
      <c r="H103">
        <v>0.38950000000000001</v>
      </c>
      <c r="I103">
        <v>-10.56</v>
      </c>
      <c r="J103">
        <v>-119.73</v>
      </c>
      <c r="K103" t="s">
        <v>203</v>
      </c>
      <c r="L103">
        <f t="shared" si="3"/>
        <v>2</v>
      </c>
    </row>
    <row r="104" spans="1:12" x14ac:dyDescent="0.2">
      <c r="A104" t="s">
        <v>76</v>
      </c>
      <c r="B104" t="s">
        <v>141</v>
      </c>
      <c r="C104" t="s">
        <v>81</v>
      </c>
      <c r="D104">
        <v>16</v>
      </c>
      <c r="E104">
        <v>0.30380000000000001</v>
      </c>
      <c r="F104">
        <v>295.13</v>
      </c>
      <c r="G104">
        <v>118.59</v>
      </c>
      <c r="H104">
        <v>0.40179999999999999</v>
      </c>
      <c r="I104">
        <v>-10.57</v>
      </c>
      <c r="J104">
        <v>-50.93</v>
      </c>
      <c r="K104" t="s">
        <v>203</v>
      </c>
      <c r="L104">
        <f t="shared" si="3"/>
        <v>2</v>
      </c>
    </row>
    <row r="105" spans="1:12" x14ac:dyDescent="0.2">
      <c r="A105" t="s">
        <v>76</v>
      </c>
      <c r="B105" t="s">
        <v>142</v>
      </c>
      <c r="C105" t="s">
        <v>85</v>
      </c>
      <c r="D105">
        <v>11</v>
      </c>
      <c r="E105">
        <v>0.28889999999999999</v>
      </c>
      <c r="F105">
        <v>130.25</v>
      </c>
      <c r="G105">
        <v>90.58</v>
      </c>
      <c r="H105">
        <v>0.69540000000000002</v>
      </c>
      <c r="I105">
        <v>-12.06</v>
      </c>
      <c r="J105">
        <v>-215.81</v>
      </c>
      <c r="K105" t="s">
        <v>203</v>
      </c>
      <c r="L105">
        <f t="shared" si="3"/>
        <v>2</v>
      </c>
    </row>
    <row r="106" spans="1:12" x14ac:dyDescent="0.2">
      <c r="A106" t="s">
        <v>76</v>
      </c>
      <c r="B106" t="s">
        <v>143</v>
      </c>
      <c r="C106" t="s">
        <v>85</v>
      </c>
      <c r="D106">
        <v>27</v>
      </c>
      <c r="E106">
        <v>0.2888</v>
      </c>
      <c r="F106">
        <v>247.65</v>
      </c>
      <c r="G106">
        <v>159.4</v>
      </c>
      <c r="H106">
        <v>0.64370000000000005</v>
      </c>
      <c r="I106">
        <v>-12.07</v>
      </c>
      <c r="J106">
        <v>-98.41</v>
      </c>
      <c r="K106" t="s">
        <v>203</v>
      </c>
      <c r="L106">
        <f t="shared" si="3"/>
        <v>2</v>
      </c>
    </row>
    <row r="107" spans="1:12" x14ac:dyDescent="0.2">
      <c r="A107" t="s">
        <v>76</v>
      </c>
      <c r="B107" t="s">
        <v>144</v>
      </c>
      <c r="C107" t="s">
        <v>85</v>
      </c>
      <c r="D107">
        <v>37</v>
      </c>
      <c r="E107">
        <v>0.28799999999999998</v>
      </c>
      <c r="F107">
        <v>240.47</v>
      </c>
      <c r="G107">
        <v>127.37</v>
      </c>
      <c r="H107">
        <v>0.52969999999999995</v>
      </c>
      <c r="I107">
        <v>-12.15</v>
      </c>
      <c r="J107">
        <v>-105.59</v>
      </c>
      <c r="K107" t="s">
        <v>203</v>
      </c>
      <c r="L107">
        <f t="shared" si="3"/>
        <v>2</v>
      </c>
    </row>
    <row r="108" spans="1:12" x14ac:dyDescent="0.2">
      <c r="A108" t="s">
        <v>76</v>
      </c>
      <c r="B108" t="s">
        <v>145</v>
      </c>
      <c r="C108" t="s">
        <v>85</v>
      </c>
      <c r="D108">
        <v>10</v>
      </c>
      <c r="E108">
        <v>0.28770000000000001</v>
      </c>
      <c r="F108">
        <v>193.27</v>
      </c>
      <c r="G108">
        <v>130.09</v>
      </c>
      <c r="H108">
        <v>0.67310000000000003</v>
      </c>
      <c r="I108">
        <v>-12.18</v>
      </c>
      <c r="J108">
        <v>-152.79</v>
      </c>
      <c r="K108" t="s">
        <v>203</v>
      </c>
      <c r="L108">
        <f t="shared" si="3"/>
        <v>2</v>
      </c>
    </row>
    <row r="109" spans="1:12" x14ac:dyDescent="0.2">
      <c r="A109" t="s">
        <v>76</v>
      </c>
      <c r="B109" t="s">
        <v>146</v>
      </c>
      <c r="C109" t="s">
        <v>85</v>
      </c>
      <c r="D109">
        <v>12</v>
      </c>
      <c r="E109">
        <v>0.28520000000000001</v>
      </c>
      <c r="F109">
        <v>224.96</v>
      </c>
      <c r="G109">
        <v>81.459999999999994</v>
      </c>
      <c r="H109">
        <v>0.36209999999999998</v>
      </c>
      <c r="I109">
        <v>-12.44</v>
      </c>
      <c r="J109">
        <v>-121.1</v>
      </c>
      <c r="K109" t="s">
        <v>203</v>
      </c>
      <c r="L109">
        <f t="shared" si="3"/>
        <v>2</v>
      </c>
    </row>
    <row r="110" spans="1:12" x14ac:dyDescent="0.2">
      <c r="A110" t="s">
        <v>76</v>
      </c>
      <c r="B110" t="s">
        <v>147</v>
      </c>
      <c r="C110" t="s">
        <v>81</v>
      </c>
      <c r="D110">
        <v>64</v>
      </c>
      <c r="E110">
        <v>0.27829999999999999</v>
      </c>
      <c r="F110">
        <v>239.68</v>
      </c>
      <c r="G110">
        <v>110.47</v>
      </c>
      <c r="H110">
        <v>0.46089999999999998</v>
      </c>
      <c r="I110">
        <v>-13.12</v>
      </c>
      <c r="J110">
        <v>-106.38</v>
      </c>
      <c r="K110" t="s">
        <v>203</v>
      </c>
      <c r="L110">
        <f t="shared" si="3"/>
        <v>2</v>
      </c>
    </row>
    <row r="111" spans="1:12" x14ac:dyDescent="0.2">
      <c r="A111" t="s">
        <v>76</v>
      </c>
      <c r="B111" t="s">
        <v>149</v>
      </c>
      <c r="C111" t="s">
        <v>81</v>
      </c>
      <c r="D111">
        <v>18</v>
      </c>
      <c r="E111">
        <v>0.2422</v>
      </c>
      <c r="F111">
        <v>185.46</v>
      </c>
      <c r="G111">
        <v>62.4</v>
      </c>
      <c r="H111">
        <v>0.33650000000000002</v>
      </c>
      <c r="I111">
        <v>-16.739999999999998</v>
      </c>
      <c r="J111">
        <v>-160.6</v>
      </c>
      <c r="K111" t="s">
        <v>203</v>
      </c>
      <c r="L111">
        <f t="shared" si="3"/>
        <v>2</v>
      </c>
    </row>
    <row r="112" spans="1:12" x14ac:dyDescent="0.2">
      <c r="A112" t="s">
        <v>76</v>
      </c>
      <c r="B112" t="s">
        <v>150</v>
      </c>
      <c r="C112" t="s">
        <v>81</v>
      </c>
      <c r="D112">
        <v>22</v>
      </c>
      <c r="E112">
        <v>0.2331</v>
      </c>
      <c r="F112">
        <v>219.02</v>
      </c>
      <c r="G112">
        <v>101.38</v>
      </c>
      <c r="H112">
        <v>0.46289999999999998</v>
      </c>
      <c r="I112">
        <v>-17.64</v>
      </c>
      <c r="J112">
        <v>-127.04</v>
      </c>
      <c r="K112" t="s">
        <v>203</v>
      </c>
      <c r="L112">
        <f t="shared" si="3"/>
        <v>2</v>
      </c>
    </row>
    <row r="113" spans="1:12" x14ac:dyDescent="0.2">
      <c r="A113" t="s">
        <v>76</v>
      </c>
      <c r="B113" t="s">
        <v>151</v>
      </c>
      <c r="C113" t="s">
        <v>85</v>
      </c>
      <c r="D113">
        <v>28</v>
      </c>
      <c r="E113">
        <v>0.2155</v>
      </c>
      <c r="F113">
        <v>241.86</v>
      </c>
      <c r="G113">
        <v>117.42</v>
      </c>
      <c r="H113">
        <v>0.48549999999999999</v>
      </c>
      <c r="I113">
        <v>-19.399999999999999</v>
      </c>
      <c r="J113">
        <v>-104.2</v>
      </c>
      <c r="K113" t="s">
        <v>203</v>
      </c>
      <c r="L113">
        <f t="shared" si="3"/>
        <v>2</v>
      </c>
    </row>
    <row r="114" spans="1:12" x14ac:dyDescent="0.2">
      <c r="A114" t="s">
        <v>76</v>
      </c>
      <c r="B114" t="s">
        <v>152</v>
      </c>
      <c r="C114" t="s">
        <v>81</v>
      </c>
      <c r="D114">
        <v>68</v>
      </c>
      <c r="E114">
        <v>0.21510000000000001</v>
      </c>
      <c r="F114">
        <v>156.07</v>
      </c>
      <c r="G114">
        <v>73.069999999999993</v>
      </c>
      <c r="H114">
        <v>0.46820000000000001</v>
      </c>
      <c r="I114">
        <v>-19.440000000000001</v>
      </c>
      <c r="J114">
        <v>-189.99</v>
      </c>
      <c r="K114" t="s">
        <v>203</v>
      </c>
      <c r="L114">
        <f t="shared" si="3"/>
        <v>2</v>
      </c>
    </row>
    <row r="115" spans="1:12" x14ac:dyDescent="0.2">
      <c r="A115" t="s">
        <v>76</v>
      </c>
      <c r="B115" t="s">
        <v>153</v>
      </c>
      <c r="C115" t="s">
        <v>85</v>
      </c>
      <c r="D115">
        <v>11</v>
      </c>
      <c r="E115">
        <v>0.15870000000000001</v>
      </c>
      <c r="F115">
        <v>174.48</v>
      </c>
      <c r="G115">
        <v>80.22</v>
      </c>
      <c r="H115">
        <v>0.45979999999999999</v>
      </c>
      <c r="I115">
        <v>-25.09</v>
      </c>
      <c r="J115">
        <v>-171.58</v>
      </c>
      <c r="K115" t="s">
        <v>203</v>
      </c>
      <c r="L115">
        <f t="shared" si="3"/>
        <v>2</v>
      </c>
    </row>
    <row r="116" spans="1:12" x14ac:dyDescent="0.2">
      <c r="A116" t="s">
        <v>76</v>
      </c>
      <c r="B116" t="s">
        <v>154</v>
      </c>
      <c r="C116" t="s">
        <v>78</v>
      </c>
      <c r="D116">
        <v>12</v>
      </c>
      <c r="E116">
        <v>9.5899999999999999E-2</v>
      </c>
      <c r="F116">
        <v>288.95999999999998</v>
      </c>
      <c r="G116">
        <v>103.7</v>
      </c>
      <c r="H116">
        <v>0.3589</v>
      </c>
      <c r="I116">
        <v>-31.36</v>
      </c>
      <c r="J116">
        <v>-57.1</v>
      </c>
      <c r="K116" t="s">
        <v>203</v>
      </c>
      <c r="L116">
        <f t="shared" si="3"/>
        <v>2</v>
      </c>
    </row>
    <row r="117" spans="1:12" x14ac:dyDescent="0.2">
      <c r="A117" t="s">
        <v>76</v>
      </c>
      <c r="B117" t="s">
        <v>155</v>
      </c>
      <c r="C117" t="s">
        <v>103</v>
      </c>
      <c r="D117">
        <v>17</v>
      </c>
      <c r="E117">
        <v>6.0900000000000003E-2</v>
      </c>
      <c r="F117">
        <v>186.54</v>
      </c>
      <c r="G117">
        <v>39.04</v>
      </c>
      <c r="H117">
        <v>0.20930000000000001</v>
      </c>
      <c r="I117">
        <v>-34.86</v>
      </c>
      <c r="J117">
        <v>-159.52000000000001</v>
      </c>
      <c r="K117" t="s">
        <v>203</v>
      </c>
      <c r="L117">
        <f t="shared" si="3"/>
        <v>2</v>
      </c>
    </row>
    <row r="118" spans="1:12" x14ac:dyDescent="0.2">
      <c r="A118" t="s">
        <v>11</v>
      </c>
      <c r="B118" t="s">
        <v>23</v>
      </c>
      <c r="C118" t="s">
        <v>13</v>
      </c>
      <c r="D118">
        <v>3450</v>
      </c>
      <c r="E118">
        <v>0.2989</v>
      </c>
      <c r="F118">
        <v>2656.59</v>
      </c>
      <c r="G118">
        <v>3377.81</v>
      </c>
      <c r="H118">
        <v>1.2715000000000001</v>
      </c>
      <c r="I118">
        <v>-0.31</v>
      </c>
      <c r="J118">
        <v>401.79</v>
      </c>
      <c r="K118" t="s">
        <v>202</v>
      </c>
      <c r="L118">
        <f t="shared" si="3"/>
        <v>1</v>
      </c>
    </row>
    <row r="119" spans="1:12" x14ac:dyDescent="0.2">
      <c r="A119" t="s">
        <v>11</v>
      </c>
      <c r="B119" t="s">
        <v>28</v>
      </c>
      <c r="C119" t="s">
        <v>13</v>
      </c>
      <c r="D119">
        <v>598</v>
      </c>
      <c r="E119">
        <v>0.26629999999999998</v>
      </c>
      <c r="F119">
        <v>2574.85</v>
      </c>
      <c r="G119">
        <v>7555.97</v>
      </c>
      <c r="H119">
        <v>2.9344999999999999</v>
      </c>
      <c r="I119">
        <v>-3.57</v>
      </c>
      <c r="J119">
        <v>320.05</v>
      </c>
      <c r="K119" t="s">
        <v>202</v>
      </c>
      <c r="L119">
        <f t="shared" si="3"/>
        <v>1</v>
      </c>
    </row>
    <row r="120" spans="1:12" x14ac:dyDescent="0.2">
      <c r="A120" t="s">
        <v>11</v>
      </c>
      <c r="B120" t="s">
        <v>31</v>
      </c>
      <c r="C120" t="s">
        <v>13</v>
      </c>
      <c r="D120">
        <v>305</v>
      </c>
      <c r="E120">
        <v>0.2445</v>
      </c>
      <c r="F120">
        <v>2606.8000000000002</v>
      </c>
      <c r="G120">
        <v>5085.38</v>
      </c>
      <c r="H120">
        <v>1.9508000000000001</v>
      </c>
      <c r="I120">
        <v>-5.75</v>
      </c>
      <c r="J120">
        <v>352</v>
      </c>
      <c r="K120" t="s">
        <v>202</v>
      </c>
      <c r="L120">
        <f t="shared" si="3"/>
        <v>1</v>
      </c>
    </row>
    <row r="121" spans="1:12" x14ac:dyDescent="0.2">
      <c r="A121" t="s">
        <v>37</v>
      </c>
      <c r="B121" t="s">
        <v>70</v>
      </c>
      <c r="C121" t="s">
        <v>13</v>
      </c>
      <c r="D121">
        <v>34</v>
      </c>
      <c r="E121">
        <v>0.29899999999999999</v>
      </c>
      <c r="F121">
        <v>465.75</v>
      </c>
      <c r="G121">
        <v>521.12</v>
      </c>
      <c r="H121">
        <v>1.1189</v>
      </c>
      <c r="I121">
        <v>-4.05</v>
      </c>
      <c r="J121">
        <v>107.32</v>
      </c>
      <c r="K121" t="s">
        <v>202</v>
      </c>
      <c r="L121">
        <f t="shared" si="3"/>
        <v>1</v>
      </c>
    </row>
    <row r="122" spans="1:12" x14ac:dyDescent="0.2">
      <c r="A122" t="s">
        <v>37</v>
      </c>
      <c r="B122" t="s">
        <v>73</v>
      </c>
      <c r="C122" t="s">
        <v>13</v>
      </c>
      <c r="D122">
        <v>126</v>
      </c>
      <c r="E122">
        <v>0.25530000000000003</v>
      </c>
      <c r="F122">
        <v>367.09</v>
      </c>
      <c r="G122">
        <v>214.36</v>
      </c>
      <c r="H122">
        <v>0.58389999999999997</v>
      </c>
      <c r="I122">
        <v>-8.42</v>
      </c>
      <c r="J122">
        <v>8.66</v>
      </c>
      <c r="K122" t="s">
        <v>202</v>
      </c>
      <c r="L122">
        <f t="shared" si="3"/>
        <v>1</v>
      </c>
    </row>
    <row r="123" spans="1:12" x14ac:dyDescent="0.2">
      <c r="A123" t="s">
        <v>37</v>
      </c>
      <c r="B123" t="s">
        <v>74</v>
      </c>
      <c r="C123" t="s">
        <v>13</v>
      </c>
      <c r="D123">
        <v>18</v>
      </c>
      <c r="E123">
        <v>0.25119999999999998</v>
      </c>
      <c r="F123">
        <v>432.2</v>
      </c>
      <c r="G123">
        <v>109.32</v>
      </c>
      <c r="H123">
        <v>0.25290000000000001</v>
      </c>
      <c r="I123">
        <v>-8.83</v>
      </c>
      <c r="J123">
        <v>73.760000000000005</v>
      </c>
      <c r="K123" t="s">
        <v>202</v>
      </c>
      <c r="L123">
        <f t="shared" si="3"/>
        <v>1</v>
      </c>
    </row>
    <row r="124" spans="1:12" x14ac:dyDescent="0.2">
      <c r="A124" t="s">
        <v>37</v>
      </c>
      <c r="B124" t="s">
        <v>75</v>
      </c>
      <c r="C124" t="s">
        <v>13</v>
      </c>
      <c r="D124">
        <v>1034</v>
      </c>
      <c r="E124">
        <v>0.22889999999999999</v>
      </c>
      <c r="F124">
        <v>377.23</v>
      </c>
      <c r="G124">
        <v>357.88</v>
      </c>
      <c r="H124">
        <v>0.94869999999999999</v>
      </c>
      <c r="I124">
        <v>-11.06</v>
      </c>
      <c r="J124">
        <v>18.79</v>
      </c>
      <c r="K124" t="s">
        <v>202</v>
      </c>
      <c r="L124">
        <f t="shared" si="3"/>
        <v>1</v>
      </c>
    </row>
    <row r="125" spans="1:12" x14ac:dyDescent="0.2">
      <c r="A125" t="s">
        <v>76</v>
      </c>
      <c r="B125" t="s">
        <v>124</v>
      </c>
      <c r="C125" t="s">
        <v>78</v>
      </c>
      <c r="D125">
        <v>111</v>
      </c>
      <c r="E125">
        <v>0.40400000000000003</v>
      </c>
      <c r="F125">
        <v>542.67999999999995</v>
      </c>
      <c r="G125">
        <v>315.49</v>
      </c>
      <c r="H125">
        <v>0.58140000000000003</v>
      </c>
      <c r="I125">
        <v>-0.55000000000000004</v>
      </c>
      <c r="J125">
        <v>196.62</v>
      </c>
      <c r="K125" t="s">
        <v>202</v>
      </c>
      <c r="L125">
        <f t="shared" si="3"/>
        <v>1</v>
      </c>
    </row>
    <row r="126" spans="1:12" x14ac:dyDescent="0.2">
      <c r="A126" t="s">
        <v>76</v>
      </c>
      <c r="B126" t="s">
        <v>125</v>
      </c>
      <c r="C126" t="s">
        <v>78</v>
      </c>
      <c r="D126">
        <v>185</v>
      </c>
      <c r="E126">
        <v>0.4022</v>
      </c>
      <c r="F126">
        <v>457.3</v>
      </c>
      <c r="G126">
        <v>467.69</v>
      </c>
      <c r="H126">
        <v>1.0226999999999999</v>
      </c>
      <c r="I126">
        <v>-0.73</v>
      </c>
      <c r="J126">
        <v>111.24</v>
      </c>
      <c r="K126" t="s">
        <v>202</v>
      </c>
      <c r="L126">
        <f t="shared" si="3"/>
        <v>1</v>
      </c>
    </row>
    <row r="127" spans="1:12" x14ac:dyDescent="0.2">
      <c r="A127" t="s">
        <v>76</v>
      </c>
      <c r="B127" t="s">
        <v>132</v>
      </c>
      <c r="C127" t="s">
        <v>78</v>
      </c>
      <c r="D127">
        <v>591</v>
      </c>
      <c r="E127">
        <v>0.38240000000000002</v>
      </c>
      <c r="F127">
        <v>447.48</v>
      </c>
      <c r="G127">
        <v>459.07</v>
      </c>
      <c r="H127">
        <v>1.0259</v>
      </c>
      <c r="I127">
        <v>-2.71</v>
      </c>
      <c r="J127">
        <v>101.42</v>
      </c>
      <c r="K127" t="s">
        <v>202</v>
      </c>
      <c r="L127">
        <f t="shared" si="3"/>
        <v>1</v>
      </c>
    </row>
    <row r="128" spans="1:12" x14ac:dyDescent="0.2">
      <c r="A128" t="s">
        <v>76</v>
      </c>
      <c r="B128" t="s">
        <v>136</v>
      </c>
      <c r="C128" t="s">
        <v>78</v>
      </c>
      <c r="D128">
        <v>34</v>
      </c>
      <c r="E128">
        <v>0.34899999999999998</v>
      </c>
      <c r="F128">
        <v>605.84</v>
      </c>
      <c r="G128">
        <v>506.04</v>
      </c>
      <c r="H128">
        <v>0.83530000000000004</v>
      </c>
      <c r="I128">
        <v>-6.05</v>
      </c>
      <c r="J128">
        <v>259.77999999999997</v>
      </c>
      <c r="K128" t="s">
        <v>202</v>
      </c>
      <c r="L128">
        <f t="shared" si="3"/>
        <v>1</v>
      </c>
    </row>
    <row r="129" spans="1:12" x14ac:dyDescent="0.2">
      <c r="A129" t="s">
        <v>76</v>
      </c>
      <c r="B129" t="s">
        <v>137</v>
      </c>
      <c r="C129" t="s">
        <v>78</v>
      </c>
      <c r="D129">
        <v>129</v>
      </c>
      <c r="E129">
        <v>0.34210000000000002</v>
      </c>
      <c r="F129">
        <v>414.11</v>
      </c>
      <c r="G129">
        <v>255.98</v>
      </c>
      <c r="H129">
        <v>0.61819999999999997</v>
      </c>
      <c r="I129">
        <v>-6.74</v>
      </c>
      <c r="J129">
        <v>68.05</v>
      </c>
      <c r="K129" t="s">
        <v>202</v>
      </c>
      <c r="L129">
        <f t="shared" si="3"/>
        <v>1</v>
      </c>
    </row>
    <row r="130" spans="1:12" x14ac:dyDescent="0.2">
      <c r="A130" t="s">
        <v>76</v>
      </c>
      <c r="B130" t="s">
        <v>148</v>
      </c>
      <c r="C130" t="s">
        <v>78</v>
      </c>
      <c r="D130">
        <v>11</v>
      </c>
      <c r="E130">
        <v>0.26800000000000002</v>
      </c>
      <c r="F130">
        <v>610.91</v>
      </c>
      <c r="G130">
        <v>240.14</v>
      </c>
      <c r="H130">
        <v>0.3931</v>
      </c>
      <c r="I130">
        <v>-14.15</v>
      </c>
      <c r="J130">
        <v>264.85000000000002</v>
      </c>
      <c r="K130" t="s">
        <v>202</v>
      </c>
      <c r="L130">
        <f t="shared" ref="L130:L161" si="4">IF(K130="GO -- high demand, underpriced, volatile market",5,IF(K130="GO -- high demand, underpriced",4,IF(K130="MONITOR -- high demand, already premium",3,IF(K130="NO GO -- low demand, low price",2,1))))</f>
        <v>1</v>
      </c>
    </row>
  </sheetData>
  <conditionalFormatting sqref="K1">
    <cfRule type="containsText" dxfId="3" priority="5" operator="containsText" text="GO">
      <formula>NOT(ISERROR(SEARCH("GO",K1)))</formula>
    </cfRule>
  </conditionalFormatting>
  <conditionalFormatting sqref="K1:K1048576">
    <cfRule type="containsText" dxfId="2" priority="1" operator="containsText" text="NO GO">
      <formula>NOT(ISERROR(SEARCH("NO GO",K1)))</formula>
    </cfRule>
    <cfRule type="containsText" dxfId="1" priority="3" operator="containsText" text="MONITOR">
      <formula>NOT(ISERROR(SEARCH("MONITOR",K1)))</formula>
    </cfRule>
    <cfRule type="containsText" dxfId="0" priority="4" operator="containsText" text="GO">
      <formula>NOT(ISERROR(SEARCH("GO",K1)))</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0D02-D7EA-D845-90C8-024EDDF944C3}">
  <sheetPr>
    <tabColor theme="1" tint="0.499984740745262"/>
  </sheetPr>
  <dimension ref="A1:C136"/>
  <sheetViews>
    <sheetView tabSelected="1" zoomScale="85" zoomScaleNormal="100" workbookViewId="0">
      <selection activeCell="E22" sqref="E22"/>
    </sheetView>
  </sheetViews>
  <sheetFormatPr baseColWidth="10" defaultRowHeight="16" x14ac:dyDescent="0.2"/>
  <cols>
    <col min="1" max="1" width="26.1640625" bestFit="1" customWidth="1"/>
    <col min="2" max="2" width="13.6640625" bestFit="1" customWidth="1"/>
    <col min="3" max="3" width="17.5" bestFit="1" customWidth="1"/>
    <col min="4" max="5" width="15.83203125" bestFit="1" customWidth="1"/>
  </cols>
  <sheetData>
    <row r="1" spans="1:3" x14ac:dyDescent="0.2">
      <c r="A1" s="1" t="s">
        <v>10</v>
      </c>
      <c r="B1" t="s">
        <v>209</v>
      </c>
    </row>
    <row r="3" spans="1:3" x14ac:dyDescent="0.2">
      <c r="A3" s="1" t="s">
        <v>207</v>
      </c>
      <c r="B3" t="s">
        <v>213</v>
      </c>
      <c r="C3" t="s">
        <v>250</v>
      </c>
    </row>
    <row r="4" spans="1:3" x14ac:dyDescent="0.2">
      <c r="A4" s="2" t="s">
        <v>11</v>
      </c>
      <c r="B4" s="7">
        <v>0.25056875000000006</v>
      </c>
      <c r="C4" s="4">
        <v>1.4433437500000001</v>
      </c>
    </row>
    <row r="5" spans="1:3" x14ac:dyDescent="0.2">
      <c r="A5" s="3" t="s">
        <v>30</v>
      </c>
      <c r="B5" s="7">
        <v>0.25280000000000002</v>
      </c>
      <c r="C5" s="4">
        <v>1.9591000000000001</v>
      </c>
    </row>
    <row r="6" spans="1:3" x14ac:dyDescent="0.2">
      <c r="A6" s="3" t="s">
        <v>32</v>
      </c>
      <c r="B6" s="7">
        <v>0.22789999999999999</v>
      </c>
      <c r="C6" s="4">
        <v>0.97529999999999994</v>
      </c>
    </row>
    <row r="7" spans="1:3" x14ac:dyDescent="0.2">
      <c r="A7" s="3" t="s">
        <v>21</v>
      </c>
      <c r="B7" s="7">
        <v>0.3115</v>
      </c>
      <c r="C7" s="4">
        <v>1.0976999999999999</v>
      </c>
    </row>
    <row r="8" spans="1:3" x14ac:dyDescent="0.2">
      <c r="A8" s="3" t="s">
        <v>22</v>
      </c>
      <c r="B8" s="7">
        <v>0.30630000000000002</v>
      </c>
      <c r="C8" s="4">
        <v>1.7796000000000001</v>
      </c>
    </row>
    <row r="9" spans="1:3" x14ac:dyDescent="0.2">
      <c r="A9" s="3" t="s">
        <v>31</v>
      </c>
      <c r="B9" s="7">
        <v>0.2445</v>
      </c>
      <c r="C9" s="4">
        <v>1.9508000000000001</v>
      </c>
    </row>
    <row r="10" spans="1:3" x14ac:dyDescent="0.2">
      <c r="A10" s="3" t="s">
        <v>17</v>
      </c>
      <c r="B10" s="7">
        <v>0.31459999999999999</v>
      </c>
      <c r="C10" s="4">
        <v>1.8561000000000001</v>
      </c>
    </row>
    <row r="11" spans="1:3" x14ac:dyDescent="0.2">
      <c r="A11" s="3" t="s">
        <v>29</v>
      </c>
      <c r="B11" s="7">
        <v>0.25509999999999999</v>
      </c>
      <c r="C11" s="4">
        <v>1.4701</v>
      </c>
    </row>
    <row r="12" spans="1:3" x14ac:dyDescent="0.2">
      <c r="A12" s="3" t="s">
        <v>12</v>
      </c>
      <c r="B12" s="7">
        <v>0.32369999999999999</v>
      </c>
      <c r="C12" s="4">
        <v>0.72330000000000005</v>
      </c>
    </row>
    <row r="13" spans="1:3" x14ac:dyDescent="0.2">
      <c r="A13" s="3" t="s">
        <v>33</v>
      </c>
      <c r="B13" s="7">
        <v>0.18920000000000001</v>
      </c>
      <c r="C13" s="4">
        <v>1.7524999999999999</v>
      </c>
    </row>
    <row r="14" spans="1:3" x14ac:dyDescent="0.2">
      <c r="A14" s="3" t="s">
        <v>26</v>
      </c>
      <c r="B14" s="7">
        <v>0.2787</v>
      </c>
      <c r="C14" s="4">
        <v>1.3977999999999999</v>
      </c>
    </row>
    <row r="15" spans="1:3" x14ac:dyDescent="0.2">
      <c r="A15" s="3" t="s">
        <v>23</v>
      </c>
      <c r="B15" s="7">
        <v>0.2989</v>
      </c>
      <c r="C15" s="4">
        <v>1.2715000000000001</v>
      </c>
    </row>
    <row r="16" spans="1:3" x14ac:dyDescent="0.2">
      <c r="A16" s="3" t="s">
        <v>36</v>
      </c>
      <c r="B16" s="7">
        <v>8.1699999999999995E-2</v>
      </c>
      <c r="C16" s="4">
        <v>1.0301</v>
      </c>
    </row>
    <row r="17" spans="1:3" x14ac:dyDescent="0.2">
      <c r="A17" s="3" t="s">
        <v>34</v>
      </c>
      <c r="B17" s="7">
        <v>0.1726</v>
      </c>
      <c r="C17" s="4">
        <v>0.95309999999999995</v>
      </c>
    </row>
    <row r="18" spans="1:3" x14ac:dyDescent="0.2">
      <c r="A18" s="3" t="s">
        <v>28</v>
      </c>
      <c r="B18" s="7">
        <v>0.26629999999999998</v>
      </c>
      <c r="C18" s="4">
        <v>2.9344999999999999</v>
      </c>
    </row>
    <row r="19" spans="1:3" x14ac:dyDescent="0.2">
      <c r="A19" s="3" t="s">
        <v>20</v>
      </c>
      <c r="B19" s="7">
        <v>0.31380000000000002</v>
      </c>
      <c r="C19" s="4">
        <v>0.66239999999999999</v>
      </c>
    </row>
    <row r="20" spans="1:3" x14ac:dyDescent="0.2">
      <c r="A20" s="3" t="s">
        <v>35</v>
      </c>
      <c r="B20" s="7">
        <v>0.17150000000000001</v>
      </c>
      <c r="C20" s="4">
        <v>1.2796000000000001</v>
      </c>
    </row>
    <row r="21" spans="1:3" x14ac:dyDescent="0.2">
      <c r="A21" s="2" t="s">
        <v>37</v>
      </c>
      <c r="B21" s="7">
        <v>0.40935526315789467</v>
      </c>
      <c r="C21" s="4">
        <v>0.68982631578947373</v>
      </c>
    </row>
    <row r="22" spans="1:3" x14ac:dyDescent="0.2">
      <c r="A22" s="3" t="s">
        <v>52</v>
      </c>
      <c r="B22" s="7">
        <v>0.44409999999999999</v>
      </c>
      <c r="C22" s="4">
        <v>0.75800000000000001</v>
      </c>
    </row>
    <row r="23" spans="1:3" x14ac:dyDescent="0.2">
      <c r="A23" s="3" t="s">
        <v>39</v>
      </c>
      <c r="B23" s="7">
        <v>0.52559999999999996</v>
      </c>
      <c r="C23" s="4">
        <v>0.49509999999999998</v>
      </c>
    </row>
    <row r="24" spans="1:3" x14ac:dyDescent="0.2">
      <c r="A24" s="3" t="s">
        <v>47</v>
      </c>
      <c r="B24" s="7">
        <v>0.4723</v>
      </c>
      <c r="C24" s="4">
        <v>0.70440000000000003</v>
      </c>
    </row>
    <row r="25" spans="1:3" x14ac:dyDescent="0.2">
      <c r="A25" s="3" t="s">
        <v>43</v>
      </c>
      <c r="B25" s="7">
        <v>0.49530000000000002</v>
      </c>
      <c r="C25" s="4">
        <v>0.61809999999999998</v>
      </c>
    </row>
    <row r="26" spans="1:3" x14ac:dyDescent="0.2">
      <c r="A26" s="3" t="s">
        <v>59</v>
      </c>
      <c r="B26" s="7">
        <v>0.41470000000000001</v>
      </c>
      <c r="C26" s="4">
        <v>0.63539999999999996</v>
      </c>
    </row>
    <row r="27" spans="1:3" x14ac:dyDescent="0.2">
      <c r="A27" s="3" t="s">
        <v>75</v>
      </c>
      <c r="B27" s="7">
        <v>0.22889999999999999</v>
      </c>
      <c r="C27" s="4">
        <v>0.94869999999999999</v>
      </c>
    </row>
    <row r="28" spans="1:3" x14ac:dyDescent="0.2">
      <c r="A28" s="3" t="s">
        <v>68</v>
      </c>
      <c r="B28" s="7">
        <v>0.34029999999999999</v>
      </c>
      <c r="C28" s="4">
        <v>1.2717000000000001</v>
      </c>
    </row>
    <row r="29" spans="1:3" x14ac:dyDescent="0.2">
      <c r="A29" s="3" t="s">
        <v>38</v>
      </c>
      <c r="B29" s="7">
        <v>0.55410000000000004</v>
      </c>
      <c r="C29" s="4">
        <v>0.49130000000000001</v>
      </c>
    </row>
    <row r="30" spans="1:3" x14ac:dyDescent="0.2">
      <c r="A30" s="3" t="s">
        <v>42</v>
      </c>
      <c r="B30" s="7">
        <v>0.49590000000000001</v>
      </c>
      <c r="C30" s="4">
        <v>0.51200000000000001</v>
      </c>
    </row>
    <row r="31" spans="1:3" x14ac:dyDescent="0.2">
      <c r="A31" s="3" t="s">
        <v>44</v>
      </c>
      <c r="B31" s="7">
        <v>0.49480000000000002</v>
      </c>
      <c r="C31" s="4">
        <v>0.54990000000000006</v>
      </c>
    </row>
    <row r="32" spans="1:3" x14ac:dyDescent="0.2">
      <c r="A32" s="3" t="s">
        <v>54</v>
      </c>
      <c r="B32" s="7">
        <v>0.43719999999999998</v>
      </c>
      <c r="C32" s="4">
        <v>1.0619000000000001</v>
      </c>
    </row>
    <row r="33" spans="1:3" x14ac:dyDescent="0.2">
      <c r="A33" s="3" t="s">
        <v>40</v>
      </c>
      <c r="B33" s="7">
        <v>0.50670000000000004</v>
      </c>
      <c r="C33" s="4">
        <v>1.1456999999999999</v>
      </c>
    </row>
    <row r="34" spans="1:3" x14ac:dyDescent="0.2">
      <c r="A34" s="3" t="s">
        <v>71</v>
      </c>
      <c r="B34" s="7">
        <v>0.28539999999999999</v>
      </c>
      <c r="C34" s="4">
        <v>1.2883</v>
      </c>
    </row>
    <row r="35" spans="1:3" x14ac:dyDescent="0.2">
      <c r="A35" s="3" t="s">
        <v>61</v>
      </c>
      <c r="B35" s="7">
        <v>0.3881</v>
      </c>
      <c r="C35" s="4">
        <v>0.45540000000000003</v>
      </c>
    </row>
    <row r="36" spans="1:3" x14ac:dyDescent="0.2">
      <c r="A36" s="3" t="s">
        <v>51</v>
      </c>
      <c r="B36" s="7">
        <v>0.46079999999999999</v>
      </c>
      <c r="C36" s="4">
        <v>0.32300000000000001</v>
      </c>
    </row>
    <row r="37" spans="1:3" x14ac:dyDescent="0.2">
      <c r="A37" s="3" t="s">
        <v>57</v>
      </c>
      <c r="B37" s="7">
        <v>0.42049999999999998</v>
      </c>
      <c r="C37" s="4">
        <v>0.56840000000000002</v>
      </c>
    </row>
    <row r="38" spans="1:3" x14ac:dyDescent="0.2">
      <c r="A38" s="3" t="s">
        <v>41</v>
      </c>
      <c r="B38" s="7">
        <v>0.50349999999999995</v>
      </c>
      <c r="C38" s="4">
        <v>0.64749999999999996</v>
      </c>
    </row>
    <row r="39" spans="1:3" x14ac:dyDescent="0.2">
      <c r="A39" s="3" t="s">
        <v>74</v>
      </c>
      <c r="B39" s="7">
        <v>0.25119999999999998</v>
      </c>
      <c r="C39" s="4">
        <v>0.25290000000000001</v>
      </c>
    </row>
    <row r="40" spans="1:3" x14ac:dyDescent="0.2">
      <c r="A40" s="3" t="s">
        <v>67</v>
      </c>
      <c r="B40" s="7">
        <v>0.3624</v>
      </c>
      <c r="C40" s="4">
        <v>0.80269999999999997</v>
      </c>
    </row>
    <row r="41" spans="1:3" x14ac:dyDescent="0.2">
      <c r="A41" s="3" t="s">
        <v>56</v>
      </c>
      <c r="B41" s="7">
        <v>0.42659999999999998</v>
      </c>
      <c r="C41" s="4">
        <v>0.45150000000000001</v>
      </c>
    </row>
    <row r="42" spans="1:3" x14ac:dyDescent="0.2">
      <c r="A42" s="3" t="s">
        <v>65</v>
      </c>
      <c r="B42" s="7">
        <v>0.36849999999999999</v>
      </c>
      <c r="C42" s="4">
        <v>0.74709999999999999</v>
      </c>
    </row>
    <row r="43" spans="1:3" x14ac:dyDescent="0.2">
      <c r="A43" s="3" t="s">
        <v>46</v>
      </c>
      <c r="B43" s="7">
        <v>0.48110000000000003</v>
      </c>
      <c r="C43" s="4">
        <v>0.46889999999999998</v>
      </c>
    </row>
    <row r="44" spans="1:3" x14ac:dyDescent="0.2">
      <c r="A44" s="3" t="s">
        <v>62</v>
      </c>
      <c r="B44" s="7">
        <v>0.3775</v>
      </c>
      <c r="C44" s="4">
        <v>0.81710000000000005</v>
      </c>
    </row>
    <row r="45" spans="1:3" x14ac:dyDescent="0.2">
      <c r="A45" s="3" t="s">
        <v>58</v>
      </c>
      <c r="B45" s="7">
        <v>0.42</v>
      </c>
      <c r="C45" s="4">
        <v>0.56200000000000006</v>
      </c>
    </row>
    <row r="46" spans="1:3" x14ac:dyDescent="0.2">
      <c r="A46" s="3" t="s">
        <v>45</v>
      </c>
      <c r="B46" s="7">
        <v>0.48130000000000001</v>
      </c>
      <c r="C46" s="4">
        <v>0.39190000000000003</v>
      </c>
    </row>
    <row r="47" spans="1:3" x14ac:dyDescent="0.2">
      <c r="A47" s="3" t="s">
        <v>69</v>
      </c>
      <c r="B47" s="7">
        <v>0.30230000000000001</v>
      </c>
      <c r="C47" s="4">
        <v>0.62570000000000003</v>
      </c>
    </row>
    <row r="48" spans="1:3" x14ac:dyDescent="0.2">
      <c r="A48" s="3" t="s">
        <v>66</v>
      </c>
      <c r="B48" s="7">
        <v>0.36549999999999999</v>
      </c>
      <c r="C48" s="4">
        <v>0.56110000000000004</v>
      </c>
    </row>
    <row r="49" spans="1:3" x14ac:dyDescent="0.2">
      <c r="A49" s="3" t="s">
        <v>60</v>
      </c>
      <c r="B49" s="7">
        <v>0.41439999999999999</v>
      </c>
      <c r="C49" s="4">
        <v>0.57550000000000001</v>
      </c>
    </row>
    <row r="50" spans="1:3" x14ac:dyDescent="0.2">
      <c r="A50" s="3" t="s">
        <v>48</v>
      </c>
      <c r="B50" s="7">
        <v>0.46500000000000002</v>
      </c>
      <c r="C50" s="4">
        <v>0.43109999999999998</v>
      </c>
    </row>
    <row r="51" spans="1:3" x14ac:dyDescent="0.2">
      <c r="A51" s="3" t="s">
        <v>55</v>
      </c>
      <c r="B51" s="7">
        <v>0.4335</v>
      </c>
      <c r="C51" s="4">
        <v>0.86099999999999999</v>
      </c>
    </row>
    <row r="52" spans="1:3" x14ac:dyDescent="0.2">
      <c r="A52" s="3" t="s">
        <v>72</v>
      </c>
      <c r="B52" s="7">
        <v>0.2707</v>
      </c>
      <c r="C52" s="4">
        <v>0.60829999999999995</v>
      </c>
    </row>
    <row r="53" spans="1:3" x14ac:dyDescent="0.2">
      <c r="A53" s="3" t="s">
        <v>63</v>
      </c>
      <c r="B53" s="7">
        <v>0.37109999999999999</v>
      </c>
      <c r="C53" s="4">
        <v>0.57589999999999997</v>
      </c>
    </row>
    <row r="54" spans="1:3" x14ac:dyDescent="0.2">
      <c r="A54" s="3" t="s">
        <v>70</v>
      </c>
      <c r="B54" s="7">
        <v>0.29899999999999999</v>
      </c>
      <c r="C54" s="4">
        <v>1.1189</v>
      </c>
    </row>
    <row r="55" spans="1:3" x14ac:dyDescent="0.2">
      <c r="A55" s="3" t="s">
        <v>64</v>
      </c>
      <c r="B55" s="7">
        <v>0.37069999999999997</v>
      </c>
      <c r="C55" s="4">
        <v>1.0807</v>
      </c>
    </row>
    <row r="56" spans="1:3" x14ac:dyDescent="0.2">
      <c r="A56" s="3" t="s">
        <v>50</v>
      </c>
      <c r="B56" s="7">
        <v>0.4642</v>
      </c>
      <c r="C56" s="4">
        <v>1.0491999999999999</v>
      </c>
    </row>
    <row r="57" spans="1:3" x14ac:dyDescent="0.2">
      <c r="A57" s="3" t="s">
        <v>73</v>
      </c>
      <c r="B57" s="7">
        <v>0.25530000000000003</v>
      </c>
      <c r="C57" s="4">
        <v>0.58389999999999997</v>
      </c>
    </row>
    <row r="58" spans="1:3" x14ac:dyDescent="0.2">
      <c r="A58" s="3" t="s">
        <v>49</v>
      </c>
      <c r="B58" s="7">
        <v>0.46489999999999998</v>
      </c>
      <c r="C58" s="4">
        <v>0.59650000000000003</v>
      </c>
    </row>
    <row r="59" spans="1:3" x14ac:dyDescent="0.2">
      <c r="A59" s="3" t="s">
        <v>53</v>
      </c>
      <c r="B59" s="7">
        <v>0.44209999999999999</v>
      </c>
      <c r="C59" s="4">
        <v>0.57669999999999999</v>
      </c>
    </row>
    <row r="60" spans="1:3" x14ac:dyDescent="0.2">
      <c r="A60" s="2" t="s">
        <v>76</v>
      </c>
      <c r="B60" s="7">
        <v>0.41300266666666657</v>
      </c>
      <c r="C60" s="4">
        <v>0.62598266666666691</v>
      </c>
    </row>
    <row r="61" spans="1:3" x14ac:dyDescent="0.2">
      <c r="A61" s="3" t="s">
        <v>98</v>
      </c>
      <c r="B61" s="7">
        <v>0.48470000000000002</v>
      </c>
      <c r="C61" s="4">
        <v>0.5897</v>
      </c>
    </row>
    <row r="62" spans="1:3" x14ac:dyDescent="0.2">
      <c r="A62" s="3" t="s">
        <v>129</v>
      </c>
      <c r="B62" s="7">
        <v>0.39040000000000002</v>
      </c>
      <c r="C62" s="4">
        <v>0.75629999999999997</v>
      </c>
    </row>
    <row r="63" spans="1:3" x14ac:dyDescent="0.2">
      <c r="A63" s="3" t="s">
        <v>106</v>
      </c>
      <c r="B63" s="7">
        <v>0.46860000000000002</v>
      </c>
      <c r="C63" s="4">
        <v>0.58960000000000001</v>
      </c>
    </row>
    <row r="64" spans="1:3" x14ac:dyDescent="0.2">
      <c r="A64" s="3" t="s">
        <v>92</v>
      </c>
      <c r="B64" s="7">
        <v>0.52159999999999995</v>
      </c>
      <c r="C64" s="4">
        <v>0.70240000000000002</v>
      </c>
    </row>
    <row r="65" spans="1:3" x14ac:dyDescent="0.2">
      <c r="A65" s="3" t="s">
        <v>130</v>
      </c>
      <c r="B65" s="7">
        <v>0.38929999999999998</v>
      </c>
      <c r="C65" s="4">
        <v>1.0333000000000001</v>
      </c>
    </row>
    <row r="66" spans="1:3" x14ac:dyDescent="0.2">
      <c r="A66" s="3" t="s">
        <v>113</v>
      </c>
      <c r="B66" s="7">
        <v>0.42880000000000001</v>
      </c>
      <c r="C66" s="4">
        <v>0.66200000000000003</v>
      </c>
    </row>
    <row r="67" spans="1:3" x14ac:dyDescent="0.2">
      <c r="A67" s="3" t="s">
        <v>146</v>
      </c>
      <c r="B67" s="7">
        <v>0.28520000000000001</v>
      </c>
      <c r="C67" s="4">
        <v>0.36209999999999998</v>
      </c>
    </row>
    <row r="68" spans="1:3" x14ac:dyDescent="0.2">
      <c r="A68" s="3" t="s">
        <v>147</v>
      </c>
      <c r="B68" s="7">
        <v>0.27829999999999999</v>
      </c>
      <c r="C68" s="4">
        <v>0.46089999999999998</v>
      </c>
    </row>
    <row r="69" spans="1:3" x14ac:dyDescent="0.2">
      <c r="A69" s="3" t="s">
        <v>88</v>
      </c>
      <c r="B69" s="7">
        <v>0.55889999999999995</v>
      </c>
      <c r="C69" s="4">
        <v>0.34610000000000002</v>
      </c>
    </row>
    <row r="70" spans="1:3" x14ac:dyDescent="0.2">
      <c r="A70" s="3" t="s">
        <v>121</v>
      </c>
      <c r="B70" s="7">
        <v>0.41339999999999999</v>
      </c>
      <c r="C70" s="4">
        <v>0.67249999999999999</v>
      </c>
    </row>
    <row r="71" spans="1:3" x14ac:dyDescent="0.2">
      <c r="A71" s="3" t="s">
        <v>111</v>
      </c>
      <c r="B71" s="7">
        <v>0.44879999999999998</v>
      </c>
      <c r="C71" s="4">
        <v>0.67559999999999998</v>
      </c>
    </row>
    <row r="72" spans="1:3" x14ac:dyDescent="0.2">
      <c r="A72" s="3" t="s">
        <v>97</v>
      </c>
      <c r="B72" s="7">
        <v>0.49030000000000001</v>
      </c>
      <c r="C72" s="4">
        <v>0.60950000000000004</v>
      </c>
    </row>
    <row r="73" spans="1:3" x14ac:dyDescent="0.2">
      <c r="A73" s="3" t="s">
        <v>84</v>
      </c>
      <c r="B73" s="7">
        <v>0.56859999999999999</v>
      </c>
      <c r="C73" s="4">
        <v>0.51149999999999995</v>
      </c>
    </row>
    <row r="74" spans="1:3" x14ac:dyDescent="0.2">
      <c r="A74" s="3" t="s">
        <v>102</v>
      </c>
      <c r="B74" s="7">
        <v>0.47549999999999998</v>
      </c>
      <c r="C74" s="4">
        <v>0.30430000000000001</v>
      </c>
    </row>
    <row r="75" spans="1:3" x14ac:dyDescent="0.2">
      <c r="A75" s="3" t="s">
        <v>142</v>
      </c>
      <c r="B75" s="7">
        <v>0.28889999999999999</v>
      </c>
      <c r="C75" s="4">
        <v>0.69540000000000002</v>
      </c>
    </row>
    <row r="76" spans="1:3" x14ac:dyDescent="0.2">
      <c r="A76" s="3" t="s">
        <v>108</v>
      </c>
      <c r="B76" s="7">
        <v>0.45669999999999999</v>
      </c>
      <c r="C76" s="4">
        <v>0.80420000000000003</v>
      </c>
    </row>
    <row r="77" spans="1:3" x14ac:dyDescent="0.2">
      <c r="A77" s="3" t="s">
        <v>120</v>
      </c>
      <c r="B77" s="7">
        <v>0.41639999999999999</v>
      </c>
      <c r="C77" s="4">
        <v>0.71619999999999995</v>
      </c>
    </row>
    <row r="78" spans="1:3" x14ac:dyDescent="0.2">
      <c r="A78" s="3" t="s">
        <v>127</v>
      </c>
      <c r="B78" s="7">
        <v>0.3916</v>
      </c>
      <c r="C78" s="4">
        <v>0.48749999999999999</v>
      </c>
    </row>
    <row r="79" spans="1:3" x14ac:dyDescent="0.2">
      <c r="A79" s="3" t="s">
        <v>149</v>
      </c>
      <c r="B79" s="7">
        <v>0.2422</v>
      </c>
      <c r="C79" s="4">
        <v>0.33650000000000002</v>
      </c>
    </row>
    <row r="80" spans="1:3" x14ac:dyDescent="0.2">
      <c r="A80" s="3" t="s">
        <v>134</v>
      </c>
      <c r="B80" s="7">
        <v>0.37409999999999999</v>
      </c>
      <c r="C80" s="4">
        <v>0.55179999999999996</v>
      </c>
    </row>
    <row r="81" spans="1:3" x14ac:dyDescent="0.2">
      <c r="A81" s="3" t="s">
        <v>133</v>
      </c>
      <c r="B81" s="7">
        <v>0.376</v>
      </c>
      <c r="C81" s="4">
        <v>0.67830000000000001</v>
      </c>
    </row>
    <row r="82" spans="1:3" x14ac:dyDescent="0.2">
      <c r="A82" s="3" t="s">
        <v>117</v>
      </c>
      <c r="B82" s="7">
        <v>0.4224</v>
      </c>
      <c r="C82" s="4">
        <v>0.70009999999999994</v>
      </c>
    </row>
    <row r="83" spans="1:3" x14ac:dyDescent="0.2">
      <c r="A83" s="3" t="s">
        <v>126</v>
      </c>
      <c r="B83" s="7">
        <v>0.3947</v>
      </c>
      <c r="C83" s="4">
        <v>0.60670000000000002</v>
      </c>
    </row>
    <row r="84" spans="1:3" x14ac:dyDescent="0.2">
      <c r="A84" s="3" t="s">
        <v>87</v>
      </c>
      <c r="B84" s="7">
        <v>0.56679999999999997</v>
      </c>
      <c r="C84" s="4">
        <v>0.70750000000000002</v>
      </c>
    </row>
    <row r="85" spans="1:3" x14ac:dyDescent="0.2">
      <c r="A85" s="3" t="s">
        <v>131</v>
      </c>
      <c r="B85" s="7">
        <v>0.38379999999999997</v>
      </c>
      <c r="C85" s="4">
        <v>0.31390000000000001</v>
      </c>
    </row>
    <row r="86" spans="1:3" x14ac:dyDescent="0.2">
      <c r="A86" s="3" t="s">
        <v>124</v>
      </c>
      <c r="B86" s="7">
        <v>0.40400000000000003</v>
      </c>
      <c r="C86" s="4">
        <v>0.58140000000000003</v>
      </c>
    </row>
    <row r="87" spans="1:3" x14ac:dyDescent="0.2">
      <c r="A87" s="3" t="s">
        <v>119</v>
      </c>
      <c r="B87" s="7">
        <v>0.41649999999999998</v>
      </c>
      <c r="C87" s="4">
        <v>0.40210000000000001</v>
      </c>
    </row>
    <row r="88" spans="1:3" x14ac:dyDescent="0.2">
      <c r="A88" s="3" t="s">
        <v>154</v>
      </c>
      <c r="B88" s="7">
        <v>9.5899999999999999E-2</v>
      </c>
      <c r="C88" s="4">
        <v>0.3589</v>
      </c>
    </row>
    <row r="89" spans="1:3" x14ac:dyDescent="0.2">
      <c r="A89" s="3" t="s">
        <v>150</v>
      </c>
      <c r="B89" s="7">
        <v>0.2331</v>
      </c>
      <c r="C89" s="4">
        <v>0.46289999999999998</v>
      </c>
    </row>
    <row r="90" spans="1:3" x14ac:dyDescent="0.2">
      <c r="A90" s="3" t="s">
        <v>123</v>
      </c>
      <c r="B90" s="7">
        <v>0.40910000000000002</v>
      </c>
      <c r="C90" s="4">
        <v>0.40010000000000001</v>
      </c>
    </row>
    <row r="91" spans="1:3" x14ac:dyDescent="0.2">
      <c r="A91" s="3" t="s">
        <v>82</v>
      </c>
      <c r="B91" s="7">
        <v>0.60270000000000001</v>
      </c>
      <c r="C91" s="4">
        <v>0.51300000000000001</v>
      </c>
    </row>
    <row r="92" spans="1:3" x14ac:dyDescent="0.2">
      <c r="A92" s="3" t="s">
        <v>152</v>
      </c>
      <c r="B92" s="7">
        <v>0.21510000000000001</v>
      </c>
      <c r="C92" s="4">
        <v>0.46820000000000001</v>
      </c>
    </row>
    <row r="93" spans="1:3" x14ac:dyDescent="0.2">
      <c r="A93" s="3" t="s">
        <v>145</v>
      </c>
      <c r="B93" s="7">
        <v>0.28770000000000001</v>
      </c>
      <c r="C93" s="4">
        <v>0.67310000000000003</v>
      </c>
    </row>
    <row r="94" spans="1:3" x14ac:dyDescent="0.2">
      <c r="A94" s="3" t="s">
        <v>80</v>
      </c>
      <c r="B94" s="7">
        <v>0.61150000000000004</v>
      </c>
      <c r="C94" s="4">
        <v>0.82379999999999998</v>
      </c>
    </row>
    <row r="95" spans="1:3" x14ac:dyDescent="0.2">
      <c r="A95" s="3" t="s">
        <v>77</v>
      </c>
      <c r="B95" s="7">
        <v>0.68110000000000004</v>
      </c>
      <c r="C95" s="4">
        <v>0.91290000000000004</v>
      </c>
    </row>
    <row r="96" spans="1:3" x14ac:dyDescent="0.2">
      <c r="A96" s="3" t="s">
        <v>96</v>
      </c>
      <c r="B96" s="7">
        <v>0.49199999999999999</v>
      </c>
      <c r="C96" s="4">
        <v>0.35270000000000001</v>
      </c>
    </row>
    <row r="97" spans="1:3" x14ac:dyDescent="0.2">
      <c r="A97" s="3" t="s">
        <v>148</v>
      </c>
      <c r="B97" s="7">
        <v>0.26800000000000002</v>
      </c>
      <c r="C97" s="4">
        <v>0.3931</v>
      </c>
    </row>
    <row r="98" spans="1:3" x14ac:dyDescent="0.2">
      <c r="A98" s="3" t="s">
        <v>115</v>
      </c>
      <c r="B98" s="7">
        <v>0.4249</v>
      </c>
      <c r="C98" s="4">
        <v>1.1002000000000001</v>
      </c>
    </row>
    <row r="99" spans="1:3" x14ac:dyDescent="0.2">
      <c r="A99" s="3" t="s">
        <v>125</v>
      </c>
      <c r="B99" s="7">
        <v>0.4022</v>
      </c>
      <c r="C99" s="4">
        <v>1.0226999999999999</v>
      </c>
    </row>
    <row r="100" spans="1:3" x14ac:dyDescent="0.2">
      <c r="A100" s="3" t="s">
        <v>139</v>
      </c>
      <c r="B100" s="7">
        <v>0.32700000000000001</v>
      </c>
      <c r="C100" s="4">
        <v>0.31909999999999999</v>
      </c>
    </row>
    <row r="101" spans="1:3" x14ac:dyDescent="0.2">
      <c r="A101" s="3" t="s">
        <v>138</v>
      </c>
      <c r="B101" s="7">
        <v>0.33679999999999999</v>
      </c>
      <c r="C101" s="4">
        <v>0.43159999999999998</v>
      </c>
    </row>
    <row r="102" spans="1:3" x14ac:dyDescent="0.2">
      <c r="A102" s="3" t="s">
        <v>104</v>
      </c>
      <c r="B102" s="7">
        <v>0.47149999999999997</v>
      </c>
      <c r="C102" s="4">
        <v>0.70609999999999995</v>
      </c>
    </row>
    <row r="103" spans="1:3" x14ac:dyDescent="0.2">
      <c r="A103" s="3" t="s">
        <v>116</v>
      </c>
      <c r="B103" s="7">
        <v>0.4224</v>
      </c>
      <c r="C103" s="4">
        <v>0.52569999999999995</v>
      </c>
    </row>
    <row r="104" spans="1:3" x14ac:dyDescent="0.2">
      <c r="A104" s="3" t="s">
        <v>91</v>
      </c>
      <c r="B104" s="7">
        <v>0.52380000000000004</v>
      </c>
      <c r="C104" s="4">
        <v>0.56520000000000004</v>
      </c>
    </row>
    <row r="105" spans="1:3" x14ac:dyDescent="0.2">
      <c r="A105" s="3" t="s">
        <v>114</v>
      </c>
      <c r="B105" s="7">
        <v>0.42820000000000003</v>
      </c>
      <c r="C105" s="4">
        <v>2.9508000000000001</v>
      </c>
    </row>
    <row r="106" spans="1:3" x14ac:dyDescent="0.2">
      <c r="A106" s="3" t="s">
        <v>112</v>
      </c>
      <c r="B106" s="7">
        <v>0.43120000000000003</v>
      </c>
      <c r="C106" s="4">
        <v>0.85240000000000005</v>
      </c>
    </row>
    <row r="107" spans="1:3" x14ac:dyDescent="0.2">
      <c r="A107" s="3" t="s">
        <v>110</v>
      </c>
      <c r="B107" s="7">
        <v>0.4541</v>
      </c>
      <c r="C107" s="4">
        <v>0.36459999999999998</v>
      </c>
    </row>
    <row r="108" spans="1:3" x14ac:dyDescent="0.2">
      <c r="A108" s="3" t="s">
        <v>132</v>
      </c>
      <c r="B108" s="7">
        <v>0.38240000000000002</v>
      </c>
      <c r="C108" s="4">
        <v>1.0259</v>
      </c>
    </row>
    <row r="109" spans="1:3" x14ac:dyDescent="0.2">
      <c r="A109" s="3" t="s">
        <v>140</v>
      </c>
      <c r="B109" s="7">
        <v>0.3039</v>
      </c>
      <c r="C109" s="4">
        <v>0.38950000000000001</v>
      </c>
    </row>
    <row r="110" spans="1:3" x14ac:dyDescent="0.2">
      <c r="A110" s="3" t="s">
        <v>136</v>
      </c>
      <c r="B110" s="7">
        <v>0.34899999999999998</v>
      </c>
      <c r="C110" s="4">
        <v>0.83530000000000004</v>
      </c>
    </row>
    <row r="111" spans="1:3" x14ac:dyDescent="0.2">
      <c r="A111" s="3" t="s">
        <v>86</v>
      </c>
      <c r="B111" s="7">
        <v>0.56689999999999996</v>
      </c>
      <c r="C111" s="4">
        <v>0.40100000000000002</v>
      </c>
    </row>
    <row r="112" spans="1:3" x14ac:dyDescent="0.2">
      <c r="A112" s="3" t="s">
        <v>93</v>
      </c>
      <c r="B112" s="7">
        <v>0.51749999999999996</v>
      </c>
      <c r="C112" s="4">
        <v>0.46650000000000003</v>
      </c>
    </row>
    <row r="113" spans="1:3" x14ac:dyDescent="0.2">
      <c r="A113" s="3" t="s">
        <v>155</v>
      </c>
      <c r="B113" s="7">
        <v>6.0900000000000003E-2</v>
      </c>
      <c r="C113" s="4">
        <v>0.20930000000000001</v>
      </c>
    </row>
    <row r="114" spans="1:3" x14ac:dyDescent="0.2">
      <c r="A114" s="3" t="s">
        <v>83</v>
      </c>
      <c r="B114" s="7">
        <v>0.57010000000000005</v>
      </c>
      <c r="C114" s="4">
        <v>0.57420000000000004</v>
      </c>
    </row>
    <row r="115" spans="1:3" x14ac:dyDescent="0.2">
      <c r="A115" s="3" t="s">
        <v>100</v>
      </c>
      <c r="B115" s="7">
        <v>0.4834</v>
      </c>
      <c r="C115" s="4">
        <v>0.49869999999999998</v>
      </c>
    </row>
    <row r="116" spans="1:3" x14ac:dyDescent="0.2">
      <c r="A116" s="3" t="s">
        <v>153</v>
      </c>
      <c r="B116" s="7">
        <v>0.15870000000000001</v>
      </c>
      <c r="C116" s="4">
        <v>0.45979999999999999</v>
      </c>
    </row>
    <row r="117" spans="1:3" x14ac:dyDescent="0.2">
      <c r="A117" s="3" t="s">
        <v>118</v>
      </c>
      <c r="B117" s="7">
        <v>0.41820000000000002</v>
      </c>
      <c r="C117" s="4">
        <v>0.79400000000000004</v>
      </c>
    </row>
    <row r="118" spans="1:3" x14ac:dyDescent="0.2">
      <c r="A118" s="3" t="s">
        <v>101</v>
      </c>
      <c r="B118" s="7">
        <v>0.47560000000000002</v>
      </c>
      <c r="C118" s="4">
        <v>0.39560000000000001</v>
      </c>
    </row>
    <row r="119" spans="1:3" x14ac:dyDescent="0.2">
      <c r="A119" s="3" t="s">
        <v>143</v>
      </c>
      <c r="B119" s="7">
        <v>0.2888</v>
      </c>
      <c r="C119" s="4">
        <v>0.64370000000000005</v>
      </c>
    </row>
    <row r="120" spans="1:3" x14ac:dyDescent="0.2">
      <c r="A120" s="3" t="s">
        <v>141</v>
      </c>
      <c r="B120" s="7">
        <v>0.30380000000000001</v>
      </c>
      <c r="C120" s="4">
        <v>0.40179999999999999</v>
      </c>
    </row>
    <row r="121" spans="1:3" x14ac:dyDescent="0.2">
      <c r="A121" s="3" t="s">
        <v>95</v>
      </c>
      <c r="B121" s="7">
        <v>0.5131</v>
      </c>
      <c r="C121" s="4">
        <v>0.97889999999999999</v>
      </c>
    </row>
    <row r="122" spans="1:3" x14ac:dyDescent="0.2">
      <c r="A122" s="3" t="s">
        <v>151</v>
      </c>
      <c r="B122" s="7">
        <v>0.2155</v>
      </c>
      <c r="C122" s="4">
        <v>0.48549999999999999</v>
      </c>
    </row>
    <row r="123" spans="1:3" x14ac:dyDescent="0.2">
      <c r="A123" s="3" t="s">
        <v>144</v>
      </c>
      <c r="B123" s="7">
        <v>0.28799999999999998</v>
      </c>
      <c r="C123" s="4">
        <v>0.52969999999999995</v>
      </c>
    </row>
    <row r="124" spans="1:3" x14ac:dyDescent="0.2">
      <c r="A124" s="3" t="s">
        <v>122</v>
      </c>
      <c r="B124" s="7">
        <v>0.4133</v>
      </c>
      <c r="C124" s="4">
        <v>0.58099999999999996</v>
      </c>
    </row>
    <row r="125" spans="1:3" x14ac:dyDescent="0.2">
      <c r="A125" s="3" t="s">
        <v>90</v>
      </c>
      <c r="B125" s="7">
        <v>0.53669999999999995</v>
      </c>
      <c r="C125" s="4">
        <v>0.92090000000000005</v>
      </c>
    </row>
    <row r="126" spans="1:3" x14ac:dyDescent="0.2">
      <c r="A126" s="3" t="s">
        <v>105</v>
      </c>
      <c r="B126" s="7">
        <v>0.46939999999999998</v>
      </c>
      <c r="C126" s="4">
        <v>0.45150000000000001</v>
      </c>
    </row>
    <row r="127" spans="1:3" x14ac:dyDescent="0.2">
      <c r="A127" s="3" t="s">
        <v>137</v>
      </c>
      <c r="B127" s="7">
        <v>0.34210000000000002</v>
      </c>
      <c r="C127" s="4">
        <v>0.61819999999999997</v>
      </c>
    </row>
    <row r="128" spans="1:3" x14ac:dyDescent="0.2">
      <c r="A128" s="3" t="s">
        <v>94</v>
      </c>
      <c r="B128" s="7">
        <v>0.5151</v>
      </c>
      <c r="C128" s="4">
        <v>0.60699999999999998</v>
      </c>
    </row>
    <row r="129" spans="1:3" x14ac:dyDescent="0.2">
      <c r="A129" s="3" t="s">
        <v>89</v>
      </c>
      <c r="B129" s="7">
        <v>0.53849999999999998</v>
      </c>
      <c r="C129" s="4">
        <v>0.70309999999999995</v>
      </c>
    </row>
    <row r="130" spans="1:3" x14ac:dyDescent="0.2">
      <c r="A130" s="3" t="s">
        <v>107</v>
      </c>
      <c r="B130" s="7">
        <v>0.46560000000000001</v>
      </c>
      <c r="C130" s="4">
        <v>0.55649999999999999</v>
      </c>
    </row>
    <row r="131" spans="1:3" x14ac:dyDescent="0.2">
      <c r="A131" s="3" t="s">
        <v>109</v>
      </c>
      <c r="B131" s="7">
        <v>0.45469999999999999</v>
      </c>
      <c r="C131" s="4">
        <v>0.69650000000000001</v>
      </c>
    </row>
    <row r="132" spans="1:3" x14ac:dyDescent="0.2">
      <c r="A132" s="3" t="s">
        <v>79</v>
      </c>
      <c r="B132" s="7">
        <v>0.64610000000000001</v>
      </c>
      <c r="C132" s="4">
        <v>1.1493</v>
      </c>
    </row>
    <row r="133" spans="1:3" x14ac:dyDescent="0.2">
      <c r="A133" s="3" t="s">
        <v>99</v>
      </c>
      <c r="B133" s="7">
        <v>0.48449999999999999</v>
      </c>
      <c r="C133" s="4">
        <v>0.57040000000000002</v>
      </c>
    </row>
    <row r="134" spans="1:3" x14ac:dyDescent="0.2">
      <c r="A134" s="3" t="s">
        <v>128</v>
      </c>
      <c r="B134" s="7">
        <v>0.39129999999999998</v>
      </c>
      <c r="C134" s="4">
        <v>0.41970000000000002</v>
      </c>
    </row>
    <row r="135" spans="1:3" x14ac:dyDescent="0.2">
      <c r="A135" s="3" t="s">
        <v>135</v>
      </c>
      <c r="B135" s="7">
        <v>0.36730000000000002</v>
      </c>
      <c r="C135" s="4">
        <v>0.53069999999999995</v>
      </c>
    </row>
    <row r="136" spans="1:3" x14ac:dyDescent="0.2">
      <c r="A136" s="2" t="s">
        <v>208</v>
      </c>
      <c r="B136" s="7">
        <v>0.39178139534883705</v>
      </c>
      <c r="C136" s="4">
        <v>0.74616744186046546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9C39-ED10-0C47-B629-29A98AE26DFF}">
  <sheetPr>
    <tabColor theme="3"/>
  </sheetPr>
  <dimension ref="A1:H39"/>
  <sheetViews>
    <sheetView zoomScale="75" workbookViewId="0">
      <selection activeCell="A4" sqref="A4"/>
    </sheetView>
  </sheetViews>
  <sheetFormatPr baseColWidth="10" defaultColWidth="30.83203125" defaultRowHeight="16" x14ac:dyDescent="0.2"/>
  <cols>
    <col min="3" max="3" width="38.33203125" customWidth="1"/>
  </cols>
  <sheetData>
    <row r="1" spans="1:8" ht="22" x14ac:dyDescent="0.3">
      <c r="A1" s="29" t="s">
        <v>251</v>
      </c>
      <c r="B1" s="30"/>
      <c r="C1" s="30"/>
      <c r="D1" s="30"/>
      <c r="E1" s="30"/>
      <c r="F1" s="30"/>
      <c r="G1" s="30"/>
      <c r="H1" s="30"/>
    </row>
    <row r="2" spans="1:8" x14ac:dyDescent="0.2">
      <c r="A2" s="30" t="s">
        <v>252</v>
      </c>
      <c r="B2" s="30"/>
      <c r="C2" s="30"/>
      <c r="D2" s="30"/>
      <c r="E2" s="30"/>
      <c r="F2" s="30"/>
      <c r="G2" s="30"/>
      <c r="H2" s="30"/>
    </row>
    <row r="4" spans="1:8" ht="17" thickBot="1" x14ac:dyDescent="0.25">
      <c r="A4" s="6" t="s">
        <v>253</v>
      </c>
    </row>
    <row r="5" spans="1:8" x14ac:dyDescent="0.2">
      <c r="A5" s="11" t="s">
        <v>259</v>
      </c>
      <c r="B5" s="12" t="s">
        <v>260</v>
      </c>
      <c r="C5" s="12" t="s">
        <v>261</v>
      </c>
      <c r="D5" s="13" t="s">
        <v>262</v>
      </c>
    </row>
    <row r="6" spans="1:8" x14ac:dyDescent="0.2">
      <c r="A6" s="14" t="s">
        <v>76</v>
      </c>
      <c r="B6" s="9">
        <v>1182</v>
      </c>
      <c r="C6" s="15">
        <v>7280388</v>
      </c>
      <c r="D6" s="16">
        <v>1003299</v>
      </c>
    </row>
    <row r="7" spans="1:8" x14ac:dyDescent="0.2">
      <c r="A7" s="14" t="s">
        <v>11</v>
      </c>
      <c r="B7" s="10">
        <v>5036</v>
      </c>
      <c r="C7" s="15">
        <v>2513874</v>
      </c>
      <c r="D7" s="16">
        <v>1471749</v>
      </c>
    </row>
    <row r="8" spans="1:8" ht="17" thickBot="1" x14ac:dyDescent="0.25">
      <c r="A8" s="17" t="s">
        <v>37</v>
      </c>
      <c r="B8" s="18">
        <v>942</v>
      </c>
      <c r="C8" s="19">
        <v>750231</v>
      </c>
      <c r="D8" s="20">
        <v>936018</v>
      </c>
    </row>
    <row r="10" spans="1:8" ht="17" thickBot="1" x14ac:dyDescent="0.25">
      <c r="A10" s="6" t="s">
        <v>254</v>
      </c>
    </row>
    <row r="11" spans="1:8" x14ac:dyDescent="0.2">
      <c r="A11" s="21" t="s">
        <v>259</v>
      </c>
      <c r="B11" s="22" t="s">
        <v>263</v>
      </c>
      <c r="C11" s="22" t="s">
        <v>213</v>
      </c>
      <c r="D11" s="22" t="s">
        <v>249</v>
      </c>
      <c r="E11" s="23" t="s">
        <v>264</v>
      </c>
    </row>
    <row r="12" spans="1:8" x14ac:dyDescent="0.2">
      <c r="A12" s="24" t="s">
        <v>76</v>
      </c>
      <c r="B12" t="s">
        <v>77</v>
      </c>
      <c r="C12">
        <v>0.68100000000000005</v>
      </c>
      <c r="D12">
        <v>236.45</v>
      </c>
      <c r="E12" s="25" t="s">
        <v>272</v>
      </c>
    </row>
    <row r="13" spans="1:8" x14ac:dyDescent="0.2">
      <c r="A13" s="24" t="s">
        <v>11</v>
      </c>
      <c r="B13" t="s">
        <v>12</v>
      </c>
      <c r="C13">
        <v>0.32369999999999999</v>
      </c>
      <c r="D13">
        <v>68.87</v>
      </c>
      <c r="E13" s="25" t="s">
        <v>272</v>
      </c>
    </row>
    <row r="14" spans="1:8" ht="17" thickBot="1" x14ac:dyDescent="0.25">
      <c r="A14" s="26" t="s">
        <v>37</v>
      </c>
      <c r="B14" s="27" t="s">
        <v>38</v>
      </c>
      <c r="C14" s="27">
        <v>0.55410000000000004</v>
      </c>
      <c r="D14" s="27">
        <v>311.89999999999998</v>
      </c>
      <c r="E14" s="28" t="s">
        <v>272</v>
      </c>
    </row>
    <row r="16" spans="1:8" ht="17" thickBot="1" x14ac:dyDescent="0.25">
      <c r="A16" s="6" t="s">
        <v>255</v>
      </c>
    </row>
    <row r="17" spans="1:5" x14ac:dyDescent="0.2">
      <c r="A17" s="21" t="s">
        <v>259</v>
      </c>
      <c r="B17" s="22" t="s">
        <v>265</v>
      </c>
      <c r="C17" s="22" t="s">
        <v>266</v>
      </c>
      <c r="D17" s="22" t="s">
        <v>267</v>
      </c>
      <c r="E17" s="23" t="s">
        <v>268</v>
      </c>
    </row>
    <row r="18" spans="1:5" x14ac:dyDescent="0.2">
      <c r="A18" s="24" t="s">
        <v>76</v>
      </c>
      <c r="B18" t="s">
        <v>273</v>
      </c>
      <c r="C18" t="s">
        <v>274</v>
      </c>
      <c r="D18" t="s">
        <v>178</v>
      </c>
      <c r="E18" s="25" t="s">
        <v>275</v>
      </c>
    </row>
    <row r="19" spans="1:5" x14ac:dyDescent="0.2">
      <c r="A19" s="24" t="s">
        <v>11</v>
      </c>
      <c r="B19" t="s">
        <v>278</v>
      </c>
      <c r="C19" t="s">
        <v>274</v>
      </c>
      <c r="D19" t="s">
        <v>276</v>
      </c>
      <c r="E19" s="25" t="s">
        <v>277</v>
      </c>
    </row>
    <row r="20" spans="1:5" ht="17" thickBot="1" x14ac:dyDescent="0.25">
      <c r="A20" s="26" t="s">
        <v>37</v>
      </c>
      <c r="B20" s="27" t="s">
        <v>279</v>
      </c>
      <c r="C20" s="27" t="s">
        <v>280</v>
      </c>
      <c r="D20" s="27" t="s">
        <v>281</v>
      </c>
      <c r="E20" s="28" t="s">
        <v>282</v>
      </c>
    </row>
    <row r="22" spans="1:5" ht="17" thickBot="1" x14ac:dyDescent="0.25">
      <c r="A22" s="6" t="s">
        <v>256</v>
      </c>
    </row>
    <row r="23" spans="1:5" x14ac:dyDescent="0.2">
      <c r="A23" s="21" t="s">
        <v>217</v>
      </c>
      <c r="B23" s="22" t="s">
        <v>218</v>
      </c>
      <c r="C23" s="23" t="s">
        <v>269</v>
      </c>
    </row>
    <row r="24" spans="1:5" x14ac:dyDescent="0.2">
      <c r="A24" s="24" t="s">
        <v>221</v>
      </c>
      <c r="B24" t="s">
        <v>222</v>
      </c>
      <c r="C24" s="25" t="s">
        <v>283</v>
      </c>
    </row>
    <row r="25" spans="1:5" x14ac:dyDescent="0.2">
      <c r="A25" s="24" t="s">
        <v>221</v>
      </c>
      <c r="B25" t="s">
        <v>225</v>
      </c>
      <c r="C25" s="25" t="s">
        <v>284</v>
      </c>
    </row>
    <row r="26" spans="1:5" x14ac:dyDescent="0.2">
      <c r="A26" s="24" t="s">
        <v>221</v>
      </c>
      <c r="B26" t="s">
        <v>228</v>
      </c>
      <c r="C26" s="25" t="s">
        <v>285</v>
      </c>
    </row>
    <row r="27" spans="1:5" x14ac:dyDescent="0.2">
      <c r="A27" s="24" t="s">
        <v>286</v>
      </c>
      <c r="B27" t="s">
        <v>232</v>
      </c>
      <c r="C27" s="25" t="s">
        <v>287</v>
      </c>
    </row>
    <row r="28" spans="1:5" x14ac:dyDescent="0.2">
      <c r="A28" s="24" t="s">
        <v>231</v>
      </c>
      <c r="B28" t="s">
        <v>235</v>
      </c>
      <c r="C28" s="25" t="s">
        <v>236</v>
      </c>
    </row>
    <row r="29" spans="1:5" ht="17" thickBot="1" x14ac:dyDescent="0.25">
      <c r="A29" s="26" t="s">
        <v>241</v>
      </c>
      <c r="B29" s="27" t="s">
        <v>288</v>
      </c>
      <c r="C29" s="28" t="s">
        <v>247</v>
      </c>
    </row>
    <row r="31" spans="1:5" ht="17" thickBot="1" x14ac:dyDescent="0.25">
      <c r="A31" s="6" t="s">
        <v>257</v>
      </c>
    </row>
    <row r="32" spans="1:5" x14ac:dyDescent="0.2">
      <c r="A32" s="21" t="s">
        <v>259</v>
      </c>
      <c r="B32" s="22" t="s">
        <v>264</v>
      </c>
      <c r="C32" s="22" t="s">
        <v>263</v>
      </c>
      <c r="D32" s="23" t="s">
        <v>270</v>
      </c>
    </row>
    <row r="33" spans="1:4" x14ac:dyDescent="0.2">
      <c r="A33" s="24" t="s">
        <v>76</v>
      </c>
      <c r="B33" t="s">
        <v>289</v>
      </c>
      <c r="C33" t="s">
        <v>291</v>
      </c>
      <c r="D33" s="25" t="s">
        <v>292</v>
      </c>
    </row>
    <row r="34" spans="1:4" x14ac:dyDescent="0.2">
      <c r="A34" s="24" t="s">
        <v>11</v>
      </c>
      <c r="B34" t="s">
        <v>290</v>
      </c>
      <c r="C34" t="s">
        <v>12</v>
      </c>
      <c r="D34" s="25" t="s">
        <v>293</v>
      </c>
    </row>
    <row r="35" spans="1:4" ht="17" thickBot="1" x14ac:dyDescent="0.25">
      <c r="A35" s="26" t="s">
        <v>37</v>
      </c>
      <c r="B35" s="27" t="s">
        <v>290</v>
      </c>
      <c r="C35" s="27" t="s">
        <v>38</v>
      </c>
      <c r="D35" s="28" t="s">
        <v>294</v>
      </c>
    </row>
    <row r="38" spans="1:4" x14ac:dyDescent="0.2">
      <c r="A38" s="6" t="s">
        <v>258</v>
      </c>
    </row>
    <row r="39" spans="1:4" ht="238" x14ac:dyDescent="0.2">
      <c r="A39" s="8" t="s">
        <v>271</v>
      </c>
    </row>
  </sheetData>
  <mergeCells count="2">
    <mergeCell ref="A1:H1"/>
    <mergeCell ref="A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F7C9A3-0763-4942-AFE1-3AC6C28899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neighborhood_stats</vt:lpstr>
      <vt:lpstr>pivot_neighborhood</vt:lpstr>
      <vt:lpstr>seasonality</vt:lpstr>
      <vt:lpstr>pivot_seasonality</vt:lpstr>
      <vt:lpstr>attribute_performance</vt:lpstr>
      <vt:lpstr>pivot_attributes</vt:lpstr>
      <vt:lpstr>market_entry</vt:lpstr>
      <vt:lpstr>pivot_market_entry</vt:lpstr>
      <vt:lpstr>master_summary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Makail Mallari</dc:creator>
  <cp:lastModifiedBy>Makail Mallari</cp:lastModifiedBy>
  <dcterms:created xsi:type="dcterms:W3CDTF">2026-06-16T16:45:09Z</dcterms:created>
  <dcterms:modified xsi:type="dcterms:W3CDTF">2026-06-24T00:14:39Z</dcterms:modified>
</cp:coreProperties>
</file>